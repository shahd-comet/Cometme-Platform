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ergy Progress Summary" sheetId="1" r:id="rId4"/>
    <sheet name="(Households Publics) - New Comm" sheetId="2" r:id="rId5"/>
    <sheet name="MISC FBS" sheetId="3" r:id="rId6"/>
    <sheet name="FBS Upgrade to MGSMG" sheetId="4" r:id="rId7"/>
    <sheet name="Relocated Households (All)" sheetId="5" r:id="rId8"/>
  </sheets>
  <definedNames>
    <definedName name="_xlnm._FilterDatabase" localSheetId="0" hidden="1">'Energy Progress Summary'!$A$1:$U$1</definedName>
    <definedName name="_xlnm._FilterDatabase" localSheetId="1" hidden="1">'(Households Publics) - New Comm'!$A$1:$S$1</definedName>
    <definedName name="_xlnm._FilterDatabase" localSheetId="2" hidden="1">'MISC FBS'!$A$1:$R$1</definedName>
    <definedName name="_xlnm._FilterDatabase" localSheetId="3" hidden="1">'FBS Upgrade to MGSMG'!$A$1:$K$1</definedName>
    <definedName name="_xlnm._FilterDatabase" localSheetId="4" hidden="1">'Relocated Households (All)'!$A$1:$Q$1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<sst xmlns="http://schemas.openxmlformats.org/spreadsheetml/2006/main" uniqueCount="306">
  <si>
    <t>Khirbet al-Ras al-Ahmar (Lutfi families)</t>
  </si>
  <si>
    <t>Tubas</t>
  </si>
  <si>
    <t>Yes</t>
  </si>
  <si>
    <t>Khirbet al-Ras al-Ahmar (Muhammad Mahmoud)</t>
  </si>
  <si>
    <t>Khirbet al-Ras al-Ahmar (Odai Bsharat)</t>
  </si>
  <si>
    <t>Khirbet al-Ras al-Ahmar Entrance</t>
  </si>
  <si>
    <t>Wadi Qana - al-Qa'da</t>
  </si>
  <si>
    <t>Salfit</t>
  </si>
  <si>
    <t>Wadi Qana area - Arab Al Khouli</t>
  </si>
  <si>
    <t>No</t>
  </si>
  <si>
    <t>Wadi Qana FBS</t>
  </si>
  <si>
    <t>Beit Ijza</t>
  </si>
  <si>
    <t>Ramallah</t>
  </si>
  <si>
    <t>Beit Ur al-Fauqa</t>
  </si>
  <si>
    <t>Beitunia</t>
  </si>
  <si>
    <t>Furush Beit Dajan</t>
  </si>
  <si>
    <t>Nablus</t>
  </si>
  <si>
    <t>Khirbet Farasin</t>
  </si>
  <si>
    <t>Jenin</t>
  </si>
  <si>
    <t>Khirbet Tana</t>
  </si>
  <si>
    <t>Name</t>
  </si>
  <si>
    <t>Geographical Region</t>
  </si>
  <si>
    <t>FBS to SMG New Confirmed Households</t>
  </si>
  <si>
    <t>FBS # confirmed meters</t>
  </si>
  <si>
    <t>MG # confirmed meters</t>
  </si>
  <si>
    <t>SMG # confirmed meters</t>
  </si>
  <si>
    <t>Electricity Room</t>
  </si>
  <si>
    <t>Grid</t>
  </si>
  <si>
    <t>Initial Households/Public</t>
  </si>
  <si>
    <t>Completed AC</t>
  </si>
  <si>
    <t>Active NO Meter MG</t>
  </si>
  <si>
    <t>Active NO Meter FBS</t>
  </si>
  <si>
    <t>Activate Meter MG</t>
  </si>
  <si>
    <t>Activate Meter FBS</t>
  </si>
  <si>
    <t>Shared Households</t>
  </si>
  <si>
    <t>Public Structures MG</t>
  </si>
  <si>
    <t>Public Structures FBS</t>
  </si>
  <si>
    <t>Served</t>
  </si>
  <si>
    <t>Delta</t>
  </si>
  <si>
    <t>Refrigerator</t>
  </si>
  <si>
    <t>Donors</t>
  </si>
  <si>
    <t>MISC FBS</t>
  </si>
  <si>
    <t>Relocated Households</t>
  </si>
  <si>
    <t>FBS Upgarade to MG/SMG</t>
  </si>
  <si>
    <t xml:space="preserve"> </t>
  </si>
  <si>
    <t>Total</t>
  </si>
  <si>
    <t>Holder (Household/Public)</t>
  </si>
  <si>
    <t>Status</t>
  </si>
  <si>
    <t>Community</t>
  </si>
  <si>
    <t>Compound</t>
  </si>
  <si>
    <t>System Type</t>
  </si>
  <si>
    <t>Meter Number</t>
  </si>
  <si>
    <t>Meter Case</t>
  </si>
  <si>
    <t>Meter Active</t>
  </si>
  <si>
    <t>Installation Date</t>
  </si>
  <si>
    <t>Daily Limit</t>
  </si>
  <si>
    <t>All Details</t>
  </si>
  <si>
    <t>Number of male</t>
  </si>
  <si>
    <t>Number of Female</t>
  </si>
  <si>
    <t>Number of adults</t>
  </si>
  <si>
    <t>Number of children</t>
  </si>
  <si>
    <t>Discrepancy</t>
  </si>
  <si>
    <t>Phone number</t>
  </si>
  <si>
    <t>Abd al-Fattah Muhammad Zedan</t>
  </si>
  <si>
    <t>Wadi Qana</t>
  </si>
  <si>
    <t>FBS</t>
  </si>
  <si>
    <t>Used</t>
  </si>
  <si>
    <t>2025-09-02</t>
  </si>
  <si>
    <t>Complete</t>
  </si>
  <si>
    <t>No Discrepancy</t>
  </si>
  <si>
    <t>Abd Al-Haleem Assaf Al-Khouli</t>
  </si>
  <si>
    <t>Served, no meter</t>
  </si>
  <si>
    <t>MG</t>
  </si>
  <si>
    <t>Not Activated</t>
  </si>
  <si>
    <t>Missing Details</t>
  </si>
  <si>
    <t>Abd al-kareem Muhammad Mahmud  Bsharat</t>
  </si>
  <si>
    <t>Khirbet al-Ras al-Ahmar</t>
  </si>
  <si>
    <t>SMG</t>
  </si>
  <si>
    <t>2025-06-04</t>
  </si>
  <si>
    <t>Germany</t>
  </si>
  <si>
    <t>Abd al-Raheem Muhammad Mahmoud Bsharat</t>
  </si>
  <si>
    <t>Adel Mahmoud Al-Khouli</t>
  </si>
  <si>
    <t>Amer Mahmoud Ali Al-Khouli</t>
  </si>
  <si>
    <t>AC Completed</t>
  </si>
  <si>
    <t>Bassam Ahmad Abdallah Bani Odeh</t>
  </si>
  <si>
    <t>Bassam Jaber Odeh</t>
  </si>
  <si>
    <t>Eyad Fareed Odeh</t>
  </si>
  <si>
    <t>Fo'ad Othman Odeh</t>
  </si>
  <si>
    <t>Ghassan Yousef Suliman Salman</t>
  </si>
  <si>
    <t>0515361730</t>
  </si>
  <si>
    <t>Hammam Yousef Suliman Salman</t>
  </si>
  <si>
    <t>0597740385</t>
  </si>
  <si>
    <t>Hasn Mahmoud Ali Al-Khouli</t>
  </si>
  <si>
    <t>Hassan Yousef Suliman Salman</t>
  </si>
  <si>
    <t>0597260854</t>
  </si>
  <si>
    <t>Ibrahim Assaf Al-Khouli</t>
  </si>
  <si>
    <t>Ibrahim Ismael Muhammad Mara'ia</t>
  </si>
  <si>
    <t>Imad Hasan Abdallah bani Odeh</t>
  </si>
  <si>
    <t>Jehad Saa'id Yousif Bsharat</t>
  </si>
  <si>
    <t>Jihad Muhammad Fahd Bani Audeh</t>
  </si>
  <si>
    <t>Khader Muhammad Fahd Bani Audeh</t>
  </si>
  <si>
    <t>Khalid Mahmoud Ali Al-Khouli</t>
  </si>
  <si>
    <t>Lutfi sa'ed bni odeh</t>
  </si>
  <si>
    <t>2025-06-02</t>
  </si>
  <si>
    <t>Mahdi Qasim  Mansour</t>
  </si>
  <si>
    <t>Mua'th Muhammad Mahmoud Bsharat</t>
  </si>
  <si>
    <t>Muhammad Mahmud Muhammad Bsharat</t>
  </si>
  <si>
    <t>Muhammad Omair Dababat</t>
  </si>
  <si>
    <t>Muheeb Mofeed Othman Odeh</t>
  </si>
  <si>
    <t>Murad Muhammad Mahmoud Bsharat</t>
  </si>
  <si>
    <t>Oday Saa'id Yousif Bsharat</t>
  </si>
  <si>
    <t>2025-01-14</t>
  </si>
  <si>
    <t>0595305064</t>
  </si>
  <si>
    <t>Othman Fo'ad Othman Odeh</t>
  </si>
  <si>
    <t>Qassam Lutfi Said bni odeh</t>
  </si>
  <si>
    <t>Qusai Saa'id Yousif Bshhart</t>
  </si>
  <si>
    <t>2025-06-03</t>
  </si>
  <si>
    <t>0568094232</t>
  </si>
  <si>
    <t>Sa'ed Ahmad Al-Khouli</t>
  </si>
  <si>
    <t>Sa'ed Fareed Odeh</t>
  </si>
  <si>
    <t>Saa'id Lutfi Saa'id bni odeh</t>
  </si>
  <si>
    <t>Sanad Muhammad Omir Dababat</t>
  </si>
  <si>
    <t>Tukan Lutfi ٍSaa'id  Bni Odeh</t>
  </si>
  <si>
    <t>Youssef Suliman Salman</t>
  </si>
  <si>
    <t>Zahran Othman Odeh</t>
  </si>
  <si>
    <t>Ahmad Atef Hussain Hananeh</t>
  </si>
  <si>
    <t>2025-08-27</t>
  </si>
  <si>
    <t>Ali Muhammad hasan Zawahdah</t>
  </si>
  <si>
    <t>Awad Ya'qoub Muhammad Abdallah Obeid</t>
  </si>
  <si>
    <t>2025-08-18</t>
  </si>
  <si>
    <t>Not Yet Attributed</t>
  </si>
  <si>
    <t>Basel Ibrahem Muhammad Amarneh</t>
  </si>
  <si>
    <t>2025-08-19</t>
  </si>
  <si>
    <t>Dafallah Sbaih al-Faqeer</t>
  </si>
  <si>
    <t>Requested</t>
  </si>
  <si>
    <t>0532369517</t>
  </si>
  <si>
    <t>Deya' Hamdi Ahmad Nasasrah</t>
  </si>
  <si>
    <t>2025-08-26</t>
  </si>
  <si>
    <t>Fo'ad Fayez Abd al-Fatah Nasasrah</t>
  </si>
  <si>
    <t>2025-08-25</t>
  </si>
  <si>
    <t>Hamad Afef Mustafa Nasasrah</t>
  </si>
  <si>
    <t>Hasan Abd al-Hafiz Hananah</t>
  </si>
  <si>
    <t>Hasan Muhammad Hasan Turkman</t>
  </si>
  <si>
    <t>Ibrahem Hassan Youssef Abu Baker</t>
  </si>
  <si>
    <t>2025-08-20</t>
  </si>
  <si>
    <t>Idrees Muhammad Hasan Turkman</t>
  </si>
  <si>
    <t>2025-07-29</t>
  </si>
  <si>
    <t>Isaleem Hamed Nasasrah</t>
  </si>
  <si>
    <t>Islam Hamed Atef Hananah</t>
  </si>
  <si>
    <t>Khaled Basayta</t>
  </si>
  <si>
    <t>Initial</t>
  </si>
  <si>
    <t>Khaled Muhammad Hasan Turkman</t>
  </si>
  <si>
    <t>Khalil jubran jbarat</t>
  </si>
  <si>
    <t>Mo'yed Hamd Tawfeeq Nasasrah</t>
  </si>
  <si>
    <t>Muhammad Khaled Muhammad Turkman</t>
  </si>
  <si>
    <t>Muhammad Khalid Mahmud Atatrah</t>
  </si>
  <si>
    <t>0599990092</t>
  </si>
  <si>
    <t>Muhammad Rafeq Ibrahem Amarneh</t>
  </si>
  <si>
    <t>Muhammad Youssef Muhammad Turkman</t>
  </si>
  <si>
    <t>Musa Abd al-Raheem Musa Hananah</t>
  </si>
  <si>
    <t>Mustafa Mahmoud Ali Amarneh</t>
  </si>
  <si>
    <t>Ra'ed Ahmad Naser Amarneh</t>
  </si>
  <si>
    <t>Incident</t>
  </si>
  <si>
    <t>Sa'dat Sabri Muhammad Ghareeb</t>
  </si>
  <si>
    <t>0568085527</t>
  </si>
  <si>
    <t>Suhaib Hamdi Hamd Mlitat</t>
  </si>
  <si>
    <t>Suliman Salameh Zawahrah</t>
  </si>
  <si>
    <t>Wajdi Muhammad Ahmad Amarneh</t>
  </si>
  <si>
    <t>Ya'qoub Muhammad Abdallah Obeid</t>
  </si>
  <si>
    <t>Yazan Rabeea' Abdallah Nasasrah</t>
  </si>
  <si>
    <t>Yousef Ahmad Ali Ka'abneh</t>
  </si>
  <si>
    <t>0587250240</t>
  </si>
  <si>
    <t>Youssef Muhammad Hasan Turkman</t>
  </si>
  <si>
    <t>Household</t>
  </si>
  <si>
    <t>Household Status</t>
  </si>
  <si>
    <t>Notes</t>
  </si>
  <si>
    <t>Source</t>
  </si>
  <si>
    <t>Salah Suliman Mahmoud Bsharat</t>
  </si>
  <si>
    <t>Khirbet Atuf</t>
  </si>
  <si>
    <t>2025-02-24</t>
  </si>
  <si>
    <t>0538870060</t>
  </si>
  <si>
    <t>Ireland</t>
  </si>
  <si>
    <t>Metered Household</t>
  </si>
  <si>
    <t>Zeid Mohammad Khamis Bsesat</t>
  </si>
  <si>
    <t>Wadi Saab</t>
  </si>
  <si>
    <t>Germany,Ireland</t>
  </si>
  <si>
    <t>Khalid Abd-Allah Bani Odeh</t>
  </si>
  <si>
    <t>0532563820</t>
  </si>
  <si>
    <t>Obada Abd al-Hameed Abd al-Kareem Bani Audah</t>
  </si>
  <si>
    <t>0568053293</t>
  </si>
  <si>
    <t>Hamza Saleh Khalil Hamadeen</t>
  </si>
  <si>
    <t>Ein Qinya</t>
  </si>
  <si>
    <t>2025-06-25</t>
  </si>
  <si>
    <t>Mohammad Abdallah Salamah Saraya'ah</t>
  </si>
  <si>
    <t>Al-Kassarah</t>
  </si>
  <si>
    <t>2025-11-10</t>
  </si>
  <si>
    <t>0527502114</t>
  </si>
  <si>
    <t>Eyad Dawood Eid al-A'saadeh</t>
  </si>
  <si>
    <t>Oday Khalil Suliman Ara'rah</t>
  </si>
  <si>
    <t>0539355612</t>
  </si>
  <si>
    <t>Jihad Khaled Eid al-A'saadeh</t>
  </si>
  <si>
    <t>Kayed Ali Musa Jahaleen</t>
  </si>
  <si>
    <t>Ghawaliyah</t>
  </si>
  <si>
    <t>0524223744</t>
  </si>
  <si>
    <t>Ayman Ibrahim Mousa Jahaleen</t>
  </si>
  <si>
    <t>0524759383</t>
  </si>
  <si>
    <t>Emran Muhammad Musa Abu Sarhan</t>
  </si>
  <si>
    <t>Dar Salah area</t>
  </si>
  <si>
    <t>2025-11-12</t>
  </si>
  <si>
    <t>0528672471</t>
  </si>
  <si>
    <t>Muhammad Hamd Ali Jahaleen</t>
  </si>
  <si>
    <t>Za'tarah</t>
  </si>
  <si>
    <t>Netherlands</t>
  </si>
  <si>
    <t>Hamzah Hasan Hammad Hathaleen</t>
  </si>
  <si>
    <t>Wadi Abu Hindi</t>
  </si>
  <si>
    <t>Muhammad Ali Hammad Hathaleen</t>
  </si>
  <si>
    <t>Ahmad Abdallah Sobeh Saraya'ah</t>
  </si>
  <si>
    <t>0546746506</t>
  </si>
  <si>
    <t>Muhammad Dawood Ahmad Omar</t>
  </si>
  <si>
    <t>Muhammad A'del Muhammad Nassar</t>
  </si>
  <si>
    <t>Wadi al-Jirfan</t>
  </si>
  <si>
    <t>Muhammad Khalil Muhammad Hathaleen</t>
  </si>
  <si>
    <t>Ahmad Falah Abu Dahouk</t>
  </si>
  <si>
    <t>Abu Falah</t>
  </si>
  <si>
    <t>0525210491</t>
  </si>
  <si>
    <t>Kamel Ahmad Abo Helweh</t>
  </si>
  <si>
    <t>E'inun</t>
  </si>
  <si>
    <t>0593600302</t>
  </si>
  <si>
    <t>Bassam Husam Al-Din Moustafa Daraghmeh</t>
  </si>
  <si>
    <t>0599967200</t>
  </si>
  <si>
    <t>Mahmoud Mohamad Jamal Abd-Alrazaq</t>
  </si>
  <si>
    <t>0599069670</t>
  </si>
  <si>
    <t>Jamal Ali Ahmad Fares</t>
  </si>
  <si>
    <t>Fauzi Muhammad Musalam Saraye'h</t>
  </si>
  <si>
    <t>0566882898</t>
  </si>
  <si>
    <t>Muhammad Ahmad Ibraheem Saraya'h</t>
  </si>
  <si>
    <t>Belal Suliman Hammad Hathaleen</t>
  </si>
  <si>
    <t>Ameen Mousa Ali Nawajaa</t>
  </si>
  <si>
    <t>Susya</t>
  </si>
  <si>
    <t>Confirmed</t>
  </si>
  <si>
    <t>0529507600</t>
  </si>
  <si>
    <t>Visit</t>
  </si>
  <si>
    <t>Confirmed Household</t>
  </si>
  <si>
    <t>Flag for shared (old, new)</t>
  </si>
  <si>
    <t>system Name</t>
  </si>
  <si>
    <t># of total families on SMG (with shared)</t>
  </si>
  <si>
    <t>New # of families on SMG</t>
  </si>
  <si>
    <t>Previous # of families on FBS</t>
  </si>
  <si>
    <t>Old Donors</t>
  </si>
  <si>
    <t>New Donors</t>
  </si>
  <si>
    <t>New Community</t>
  </si>
  <si>
    <t>Displaced Community</t>
  </si>
  <si>
    <t>Relocation Status</t>
  </si>
  <si>
    <t>Number of Male</t>
  </si>
  <si>
    <t>Number of Adults</t>
  </si>
  <si>
    <t>Number of Children</t>
  </si>
  <si>
    <t>Phone Number</t>
  </si>
  <si>
    <t>Ibrahim Suliman Khalid Mlihat</t>
  </si>
  <si>
    <t>Al-Auja Outskirts</t>
  </si>
  <si>
    <t>Pending Reconnected - Displaced</t>
  </si>
  <si>
    <t>Mahmoud Suliman Khalid Mlihat</t>
  </si>
  <si>
    <t>al-Awsaj</t>
  </si>
  <si>
    <t>Mustafa Suliman Khalid Mlihat</t>
  </si>
  <si>
    <t>Suliman Khalid Salem Mlihat</t>
  </si>
  <si>
    <t>Eid Abd  Ali A'raa'rah</t>
  </si>
  <si>
    <t>Khirbat Qeis</t>
  </si>
  <si>
    <t>Ahmad Muhammad hasan Zawahreh</t>
  </si>
  <si>
    <t>Abdullah Hamad Hammad Mlitat</t>
  </si>
  <si>
    <t>Mustafa Ahmad Audah Ka'abnah</t>
  </si>
  <si>
    <t>Al-Auja</t>
  </si>
  <si>
    <t>0598-548627</t>
  </si>
  <si>
    <t>Osamah Eid Salameh Zawahreh</t>
  </si>
  <si>
    <t>Radi Eid Abd A' Arrara</t>
  </si>
  <si>
    <t>054-9185581</t>
  </si>
  <si>
    <t>Hamad Abdallah Hamad Mlitat</t>
  </si>
  <si>
    <t>Bahjat Zuhdi Ahmad Nasasrah</t>
  </si>
  <si>
    <t>Arafat Zuhdy Ahmad Nsasrah</t>
  </si>
  <si>
    <t>Muhammad Sliman Khalid Mlihat</t>
  </si>
  <si>
    <t>Relocated - Served, No Meter</t>
  </si>
  <si>
    <t>Ayed Suliman Salameh zawahreh</t>
  </si>
  <si>
    <t>Rayaa Muhammad Izhiman Mlihat</t>
  </si>
  <si>
    <t>Ghaleb Odeh Muhammad Bredat</t>
  </si>
  <si>
    <t>Duma</t>
  </si>
  <si>
    <t>Mahmoud Odeh Muhammad Bridat</t>
  </si>
  <si>
    <t>Ameenah Shehdah Nujoum</t>
  </si>
  <si>
    <t>Jmela Ahmad odah kaabneh</t>
  </si>
  <si>
    <t>Ahmad Suliman Abd Ta'emat</t>
  </si>
  <si>
    <t>Qusay Muhammad Khaled Samamreh</t>
  </si>
  <si>
    <t>al-Bireh</t>
  </si>
  <si>
    <t>E'naizan</t>
  </si>
  <si>
    <t>Relocated - Served</t>
  </si>
  <si>
    <t>2021-04-22</t>
  </si>
  <si>
    <t>Nayef Youssif Ibrahem Ka'abneh</t>
  </si>
  <si>
    <t>Wadi al-Seeq (Ramoon)</t>
  </si>
  <si>
    <t>Wadi Al-Seeq</t>
  </si>
  <si>
    <t>2024-03-05</t>
  </si>
  <si>
    <t>Saeed Muhammad Ali Ara'rah</t>
  </si>
  <si>
    <t>2024-03-03</t>
  </si>
  <si>
    <t>559-842416</t>
  </si>
  <si>
    <t>Radi Muhammad Ali Ara'rah</t>
  </si>
  <si>
    <t>Mustafa Suliman Mustafa Ka'abneh</t>
  </si>
  <si>
    <t>2024-03-06</t>
  </si>
  <si>
    <t>0525191436</t>
  </si>
  <si>
    <t>Khalaf Muhammad Ali Ara'rah</t>
  </si>
  <si>
    <t>2024-03-04</t>
  </si>
  <si>
    <t>055-943630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</si>
</sst>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ADD8E6"/>
        <bgColor rgb="FF000000"/>
      </patternFill>
    </fill>
    <fill>
      <patternFill patternType="solid">
        <fgColor rgb="FFe6e6ff"/>
        <bgColor rgb="FF000000"/>
      </patternFill>
    </fill>
    <fill>
      <patternFill patternType="solid">
        <fgColor rgb="FFe6e600"/>
        <bgColor rgb="FF000000"/>
      </patternFill>
    </fill>
    <fill>
      <patternFill patternType="solid">
        <fgColor rgb="FF86af49"/>
        <bgColor rgb="FF000000"/>
      </patternFill>
    </fill>
    <fill>
      <patternFill patternType="solid">
        <fgColor rgb="FFe6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/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  <xf xfId="0" fontId="0" numFmtId="0" fillId="5" borderId="1" applyFont="0" applyNumberFormat="0" applyFill="1" applyBorder="1" applyAlignment="0"/>
    <xf xfId="0" fontId="0" numFmtId="0" fillId="6" borderId="1" applyFont="0" applyNumberFormat="0" applyFill="1" applyBorder="1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1" numFmtId="0" fillId="4" borderId="1" applyFont="1" applyNumberFormat="0" applyFill="1" applyBorder="1" applyAlignment="0"/>
    <xf xfId="0" fontId="1" numFmtId="0" fillId="5" borderId="1" applyFont="1" applyNumberFormat="0" applyFill="1" applyBorder="1" applyAlignment="0"/>
    <xf xfId="0" fontId="1" numFmtId="0" fillId="6" borderId="1" applyFont="1" applyNumberFormat="0" applyFill="1" applyBorder="1" applyAlignment="0"/>
    <xf xfId="0" fontId="2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U18"/>
  <sheetViews>
    <sheetView tabSelected="1" workbookViewId="0" showGridLines="true" showRowColHeaders="1">
      <pane topLeftCell="A1" activePane="topRight" state="frozen"/>
      <selection pane="topRight" activeCell="A18" sqref="A18:U18"/>
    </sheetView>
  </sheetViews>
  <sheetFormatPr defaultRowHeight="14.4" outlineLevelRow="0" outlineLevelCol="0"/>
  <cols>
    <col min="1" max="1" width="50.559" bestFit="true" customWidth="true" style="0"/>
    <col min="2" max="2" width="27.993" bestFit="true" customWidth="true" style="0"/>
    <col min="3" max="3" width="48.702" bestFit="true" customWidth="true" style="0"/>
    <col min="4" max="4" width="31.849" bestFit="true" customWidth="true" style="0"/>
    <col min="5" max="5" width="30.564" bestFit="true" customWidth="true" style="0"/>
    <col min="6" max="6" width="31.849" bestFit="true" customWidth="true" style="0"/>
    <col min="7" max="7" width="24.28" bestFit="true" customWidth="true" style="0"/>
    <col min="8" max="8" width="8.855" bestFit="true" customWidth="true" style="0"/>
    <col min="9" max="9" width="35.706" bestFit="true" customWidth="true" style="0"/>
    <col min="10" max="10" width="19.138" bestFit="true" customWidth="true" style="0"/>
    <col min="11" max="11" width="26.708" bestFit="true" customWidth="true" style="0"/>
    <col min="12" max="12" width="27.993" bestFit="true" customWidth="true" style="0"/>
    <col min="13" max="13" width="25.422" bestFit="true" customWidth="true" style="0"/>
    <col min="14" max="14" width="26.708" bestFit="true" customWidth="true" style="0"/>
    <col min="15" max="15" width="25.422" bestFit="true" customWidth="true" style="0"/>
    <col min="16" max="16" width="29.421" bestFit="true" customWidth="true" style="0"/>
    <col min="17" max="17" width="30.564" bestFit="true" customWidth="true" style="0"/>
    <col min="18" max="18" width="11.283" bestFit="true" customWidth="true" style="0"/>
    <col min="19" max="19" width="9.998" bestFit="true" customWidth="true" style="0"/>
  </cols>
  <sheetData>
    <row r="1" spans="1:21">
      <c r="A1" s="6" t="s">
        <v>20</v>
      </c>
      <c r="B1" s="6" t="s">
        <v>21</v>
      </c>
      <c r="C1" s="6" t="s">
        <v>22</v>
      </c>
      <c r="D1" s="7" t="s">
        <v>23</v>
      </c>
      <c r="E1" s="7" t="s">
        <v>24</v>
      </c>
      <c r="F1" s="7" t="s">
        <v>25</v>
      </c>
      <c r="G1" s="6" t="s">
        <v>26</v>
      </c>
      <c r="H1" s="6" t="s">
        <v>27</v>
      </c>
      <c r="I1" s="8" t="s">
        <v>28</v>
      </c>
      <c r="J1" s="9" t="s">
        <v>29</v>
      </c>
      <c r="K1" s="6" t="s">
        <v>30</v>
      </c>
      <c r="L1" s="6" t="s">
        <v>31</v>
      </c>
      <c r="M1" s="6" t="s">
        <v>32</v>
      </c>
      <c r="N1" s="6" t="s">
        <v>33</v>
      </c>
      <c r="O1" s="6" t="s">
        <v>34</v>
      </c>
      <c r="P1" s="6" t="s">
        <v>35</v>
      </c>
      <c r="Q1" s="6" t="s">
        <v>36</v>
      </c>
      <c r="R1" s="10" t="s">
        <v>37</v>
      </c>
      <c r="S1" s="11" t="s">
        <v>38</v>
      </c>
      <c r="T1" s="6" t="s">
        <v>39</v>
      </c>
      <c r="U1" s="6" t="s">
        <v>40</v>
      </c>
    </row>
    <row r="2" spans="1:21">
      <c r="A2" t="s">
        <v>41</v>
      </c>
      <c r="B2" t="s">
        <v>44</v>
      </c>
      <c r="D2" s="1">
        <v>30</v>
      </c>
      <c r="E2" s="1"/>
      <c r="F2" s="1"/>
      <c r="I2" s="2"/>
      <c r="J2" s="3">
        <v>3</v>
      </c>
      <c r="L2">
        <v>20</v>
      </c>
      <c r="N2">
        <v>6</v>
      </c>
      <c r="R2" s="4">
        <v>26</v>
      </c>
      <c r="S2" s="5">
        <v>4</v>
      </c>
      <c r="T2">
        <v>1</v>
      </c>
    </row>
    <row r="3" spans="1:21">
      <c r="A3" t="s">
        <v>42</v>
      </c>
      <c r="B3" t="s">
        <v>44</v>
      </c>
      <c r="D3" s="1">
        <v>15</v>
      </c>
      <c r="E3" s="1">
        <v>0</v>
      </c>
      <c r="F3" s="1">
        <v>0</v>
      </c>
      <c r="I3" s="2"/>
      <c r="J3" s="3"/>
      <c r="K3">
        <v>0</v>
      </c>
      <c r="L3">
        <v>8</v>
      </c>
      <c r="M3">
        <v>0</v>
      </c>
      <c r="N3">
        <v>7</v>
      </c>
      <c r="R3" s="4">
        <v>15</v>
      </c>
      <c r="S3" s="5">
        <v>0</v>
      </c>
      <c r="T3">
        <v>0</v>
      </c>
    </row>
    <row r="4" spans="1:21">
      <c r="A4" t="s">
        <v>43</v>
      </c>
      <c r="B4" t="s">
        <v>44</v>
      </c>
      <c r="C4">
        <v>0</v>
      </c>
      <c r="D4" s="1"/>
      <c r="E4" s="1"/>
      <c r="F4" s="1"/>
      <c r="I4" s="2"/>
      <c r="J4" s="3"/>
      <c r="R4" s="4">
        <v>0</v>
      </c>
      <c r="S4" s="5">
        <v>0</v>
      </c>
      <c r="T4">
        <v>0</v>
      </c>
    </row>
    <row r="5" spans="1:21">
      <c r="A5" t="s">
        <v>0</v>
      </c>
      <c r="B5" t="s">
        <v>1</v>
      </c>
      <c r="D5" s="1"/>
      <c r="E5" s="1"/>
      <c r="F5" s="1">
        <v>4</v>
      </c>
      <c r="G5" t="s">
        <v>2</v>
      </c>
      <c r="H5" t="s">
        <v>2</v>
      </c>
      <c r="I5" s="2"/>
      <c r="J5" s="3"/>
      <c r="M5">
        <v>1</v>
      </c>
      <c r="O5">
        <v>6</v>
      </c>
      <c r="R5" s="4" t="str">
        <f>SUM(K5:Q5)</f>
        <v>0</v>
      </c>
      <c r="S5" s="5" t="str">
        <f>(D5+E5+F5)-R5</f>
        <v>0</v>
      </c>
    </row>
    <row r="6" spans="1:21">
      <c r="A6" t="s">
        <v>3</v>
      </c>
      <c r="B6" t="s">
        <v>1</v>
      </c>
      <c r="D6" s="1"/>
      <c r="E6" s="1"/>
      <c r="F6" s="1">
        <v>5</v>
      </c>
      <c r="G6" t="s">
        <v>2</v>
      </c>
      <c r="H6" t="s">
        <v>2</v>
      </c>
      <c r="I6" s="2"/>
      <c r="J6" s="3"/>
      <c r="M6">
        <v>2</v>
      </c>
      <c r="O6">
        <v>6</v>
      </c>
      <c r="R6" s="4" t="str">
        <f>SUM(K6:Q6)</f>
        <v>0</v>
      </c>
      <c r="S6" s="5" t="str">
        <f>(D6+E6+F6)-R6</f>
        <v>0</v>
      </c>
    </row>
    <row r="7" spans="1:21">
      <c r="A7" t="s">
        <v>4</v>
      </c>
      <c r="B7" t="s">
        <v>1</v>
      </c>
      <c r="D7" s="1"/>
      <c r="E7" s="1"/>
      <c r="F7" s="1">
        <v>5</v>
      </c>
      <c r="G7" t="s">
        <v>2</v>
      </c>
      <c r="H7" t="s">
        <v>2</v>
      </c>
      <c r="I7" s="2"/>
      <c r="J7" s="3">
        <v>6</v>
      </c>
      <c r="M7">
        <v>2</v>
      </c>
      <c r="R7" s="4" t="str">
        <f>SUM(K7:Q7)</f>
        <v>0</v>
      </c>
      <c r="S7" s="5" t="str">
        <f>(D7+E7+F7)-R7</f>
        <v>0</v>
      </c>
    </row>
    <row r="8" spans="1:21">
      <c r="A8" t="s">
        <v>5</v>
      </c>
      <c r="B8" t="s">
        <v>1</v>
      </c>
      <c r="D8" s="1"/>
      <c r="E8" s="1"/>
      <c r="F8" s="1">
        <v>4</v>
      </c>
      <c r="G8" t="s">
        <v>2</v>
      </c>
      <c r="H8" t="s">
        <v>2</v>
      </c>
      <c r="I8" s="2"/>
      <c r="J8" s="3"/>
      <c r="M8">
        <v>3</v>
      </c>
      <c r="O8">
        <v>2</v>
      </c>
      <c r="R8" s="4" t="str">
        <f>SUM(K8:Q8)</f>
        <v>0</v>
      </c>
      <c r="S8" s="5" t="str">
        <f>(D8+E8+F8)-R8</f>
        <v>0</v>
      </c>
    </row>
    <row r="9" spans="1:21">
      <c r="A9" t="s">
        <v>6</v>
      </c>
      <c r="B9" t="s">
        <v>7</v>
      </c>
      <c r="D9" s="1">
        <v>4</v>
      </c>
      <c r="E9" s="1"/>
      <c r="F9" s="1"/>
      <c r="G9" t="s">
        <v>2</v>
      </c>
      <c r="H9" t="s">
        <v>2</v>
      </c>
      <c r="I9" s="2"/>
      <c r="J9" s="3"/>
      <c r="N9">
        <v>2</v>
      </c>
      <c r="O9">
        <v>2</v>
      </c>
      <c r="R9" s="4" t="str">
        <f>SUM(K9:Q9)</f>
        <v>0</v>
      </c>
      <c r="S9" s="5" t="str">
        <f>(D9+E9+F9)-R9</f>
        <v>0</v>
      </c>
    </row>
    <row r="10" spans="1:21">
      <c r="A10" t="s">
        <v>8</v>
      </c>
      <c r="B10" t="s">
        <v>7</v>
      </c>
      <c r="D10" s="1"/>
      <c r="E10" s="1">
        <v>15</v>
      </c>
      <c r="F10" s="1"/>
      <c r="G10" t="s">
        <v>9</v>
      </c>
      <c r="H10" t="s">
        <v>9</v>
      </c>
      <c r="I10" s="2"/>
      <c r="J10" s="3">
        <v>5</v>
      </c>
      <c r="K10">
        <v>10</v>
      </c>
      <c r="O10">
        <v>5</v>
      </c>
      <c r="R10" s="4" t="str">
        <f>SUM(K10:Q10)</f>
        <v>0</v>
      </c>
      <c r="S10" s="5" t="str">
        <f>(D10+E10+F10)-R10</f>
        <v>0</v>
      </c>
    </row>
    <row r="11" spans="1:21">
      <c r="A11" t="s">
        <v>10</v>
      </c>
      <c r="B11" t="s">
        <v>7</v>
      </c>
      <c r="D11" s="1">
        <v>2</v>
      </c>
      <c r="E11" s="1"/>
      <c r="F11" s="1"/>
      <c r="G11" t="s">
        <v>9</v>
      </c>
      <c r="H11" t="s">
        <v>9</v>
      </c>
      <c r="I11" s="2"/>
      <c r="J11" s="3"/>
      <c r="N11">
        <v>2</v>
      </c>
      <c r="R11" s="4" t="str">
        <f>SUM(K11:Q11)</f>
        <v>0</v>
      </c>
      <c r="S11" s="5" t="str">
        <f>(D11+E11+F11)-R11</f>
        <v>0</v>
      </c>
    </row>
    <row r="12" spans="1:21">
      <c r="A12" t="s">
        <v>11</v>
      </c>
      <c r="B12" t="s">
        <v>12</v>
      </c>
      <c r="D12" s="1">
        <v>1</v>
      </c>
      <c r="E12" s="1"/>
      <c r="F12" s="1"/>
      <c r="G12" t="s">
        <v>9</v>
      </c>
      <c r="H12" t="s">
        <v>9</v>
      </c>
      <c r="I12" s="2"/>
      <c r="J12" s="3"/>
      <c r="L12">
        <v>1</v>
      </c>
      <c r="R12" s="4" t="str">
        <f>SUM(K12:Q12)</f>
        <v>0</v>
      </c>
      <c r="S12" s="5" t="str">
        <f>(D12+E12+F12)-R12</f>
        <v>0</v>
      </c>
    </row>
    <row r="13" spans="1:21">
      <c r="A13" t="s">
        <v>13</v>
      </c>
      <c r="B13" t="s">
        <v>12</v>
      </c>
      <c r="D13" s="1">
        <v>1</v>
      </c>
      <c r="E13" s="1"/>
      <c r="F13" s="1"/>
      <c r="G13" t="s">
        <v>9</v>
      </c>
      <c r="H13" t="s">
        <v>9</v>
      </c>
      <c r="I13" s="2"/>
      <c r="J13" s="3"/>
      <c r="R13" s="4" t="str">
        <f>SUM(K13:Q13)</f>
        <v>0</v>
      </c>
      <c r="S13" s="5" t="str">
        <f>(D13+E13+F13)-R13</f>
        <v>0</v>
      </c>
    </row>
    <row r="14" spans="1:21">
      <c r="A14" t="s">
        <v>14</v>
      </c>
      <c r="B14" t="s">
        <v>12</v>
      </c>
      <c r="D14" s="1">
        <v>1</v>
      </c>
      <c r="E14" s="1"/>
      <c r="F14" s="1"/>
      <c r="G14" t="s">
        <v>9</v>
      </c>
      <c r="H14" t="s">
        <v>9</v>
      </c>
      <c r="I14" s="2"/>
      <c r="J14" s="3"/>
      <c r="L14">
        <v>1</v>
      </c>
      <c r="R14" s="4" t="str">
        <f>SUM(K14:Q14)</f>
        <v>0</v>
      </c>
      <c r="S14" s="5" t="str">
        <f>(D14+E14+F14)-R14</f>
        <v>0</v>
      </c>
    </row>
    <row r="15" spans="1:21">
      <c r="A15" t="s">
        <v>15</v>
      </c>
      <c r="B15" t="s">
        <v>16</v>
      </c>
      <c r="D15" s="1">
        <v>3</v>
      </c>
      <c r="E15" s="1"/>
      <c r="F15" s="1"/>
      <c r="G15" t="s">
        <v>9</v>
      </c>
      <c r="H15" t="s">
        <v>9</v>
      </c>
      <c r="I15" s="2">
        <v>1</v>
      </c>
      <c r="J15" s="3">
        <v>1</v>
      </c>
      <c r="L15">
        <v>2</v>
      </c>
      <c r="R15" s="4" t="str">
        <f>SUM(K15:Q15)</f>
        <v>0</v>
      </c>
      <c r="S15" s="5" t="str">
        <f>(D15+E15+F15)-R15</f>
        <v>0</v>
      </c>
    </row>
    <row r="16" spans="1:21">
      <c r="A16" t="s">
        <v>17</v>
      </c>
      <c r="B16" t="s">
        <v>18</v>
      </c>
      <c r="D16" s="1">
        <v>9</v>
      </c>
      <c r="E16" s="1"/>
      <c r="F16" s="1">
        <v>6</v>
      </c>
      <c r="G16" t="s">
        <v>9</v>
      </c>
      <c r="H16" t="s">
        <v>9</v>
      </c>
      <c r="I16" s="2"/>
      <c r="J16" s="3"/>
      <c r="M16">
        <v>3</v>
      </c>
      <c r="N16">
        <v>9</v>
      </c>
      <c r="O16">
        <v>3</v>
      </c>
      <c r="R16" s="4" t="str">
        <f>SUM(K16:Q16)</f>
        <v>0</v>
      </c>
      <c r="S16" s="5" t="str">
        <f>(D16+E16+F16)-R16</f>
        <v>0</v>
      </c>
    </row>
    <row r="17" spans="1:21">
      <c r="A17" t="s">
        <v>19</v>
      </c>
      <c r="B17" t="s">
        <v>16</v>
      </c>
      <c r="D17" s="1">
        <v>11</v>
      </c>
      <c r="E17" s="1"/>
      <c r="F17" s="1"/>
      <c r="G17" t="s">
        <v>9</v>
      </c>
      <c r="H17" t="s">
        <v>9</v>
      </c>
      <c r="I17" s="2"/>
      <c r="J17" s="3"/>
      <c r="N17">
        <v>11</v>
      </c>
      <c r="R17" s="4" t="str">
        <f>SUM(K17:Q17)</f>
        <v>0</v>
      </c>
      <c r="S17" s="5" t="str">
        <f>(D17+E17+F17)-R17</f>
        <v>0</v>
      </c>
    </row>
    <row r="18" spans="1:21">
      <c r="A18" s="6" t="s">
        <v>45</v>
      </c>
      <c r="B18" s="6"/>
      <c r="C18" s="6" t="str">
        <f>SUM(C2:C17)</f>
        <v>0</v>
      </c>
      <c r="D18" s="6" t="str">
        <f>SUM(D2:D17)</f>
        <v>0</v>
      </c>
      <c r="E18" s="6" t="str">
        <f>SUM(E2:E17)</f>
        <v>0</v>
      </c>
      <c r="F18" s="6" t="str">
        <f>SUM(F2:F17)</f>
        <v>0</v>
      </c>
      <c r="G18" s="6"/>
      <c r="H18" s="6"/>
      <c r="I18" s="6" t="str">
        <f>SUM(I2:I17)</f>
        <v>0</v>
      </c>
      <c r="J18" s="6" t="str">
        <f>SUM(J2:J17)</f>
        <v>0</v>
      </c>
      <c r="K18" s="6" t="str">
        <f>SUM(K2:K17)+SUM(L2:L17)</f>
        <v>0</v>
      </c>
      <c r="L18" s="6"/>
      <c r="M18" s="6" t="str">
        <f>SUM(M2:M17)</f>
        <v>0</v>
      </c>
      <c r="N18" s="6" t="str">
        <f>SUM(N2:N17)</f>
        <v>0</v>
      </c>
      <c r="O18" s="6" t="str">
        <f>SUM(O2:O17)</f>
        <v>0</v>
      </c>
      <c r="P18" s="6" t="str">
        <f>SUM(P2:P17)</f>
        <v>0</v>
      </c>
      <c r="Q18" s="6" t="str">
        <f>SUM(Q2:Q17)</f>
        <v>0</v>
      </c>
      <c r="R18" s="6" t="str">
        <f>SUM(R2:R17)</f>
        <v>0</v>
      </c>
      <c r="S18" s="6" t="str">
        <f>SUM(S2:S17)</f>
        <v>0</v>
      </c>
      <c r="T18" s="6" t="str">
        <f>SUM(T2:T17)</f>
        <v>0</v>
      </c>
      <c r="U18" s="6"/>
    </row>
  </sheetData>
  <autoFilter ref="A1:U1"/>
  <mergeCells>
    <mergeCell ref="K18:L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R73"/>
  <sheetViews>
    <sheetView tabSelected="0" workbookViewId="0" showGridLines="true" showRowColHeaders="1">
      <pane ySplit="1" topLeftCell="A2" activePane="bottomLeft" state="frozen"/>
      <selection pane="bottomLeft" activeCell="A1" sqref="A1:R1"/>
    </sheetView>
  </sheetViews>
  <sheetFormatPr defaultRowHeight="14.4" outlineLevelRow="0" outlineLevelCol="0"/>
  <cols>
    <col min="1" max="1" width="45.846" bestFit="true" customWidth="true" style="0"/>
    <col min="2" max="2" width="19.995" bestFit="true" customWidth="true" style="0"/>
    <col min="3" max="3" width="28.136" bestFit="true" customWidth="true" style="0"/>
    <col min="4" max="4" width="50.559" bestFit="true" customWidth="true" style="0"/>
    <col min="5" max="5" width="17.71" bestFit="true" customWidth="true" style="0"/>
    <col min="6" max="6" width="19.138" bestFit="true" customWidth="true" style="0"/>
    <col min="7" max="7" width="16.425" bestFit="true" customWidth="true" style="0"/>
    <col min="8" max="8" width="19.138" bestFit="true" customWidth="true" style="0"/>
    <col min="9" max="9" width="25.422" bestFit="true" customWidth="true" style="0"/>
    <col min="10" max="10" width="17.71" bestFit="true" customWidth="true" style="0"/>
    <col min="11" max="11" width="18.71" bestFit="true" customWidth="true" style="0"/>
    <col min="12" max="12" width="21.566" bestFit="true" customWidth="true" style="0"/>
    <col min="13" max="13" width="24.28" bestFit="true" customWidth="true" style="0"/>
    <col min="14" max="14" width="24.28" bestFit="true" customWidth="true" style="0"/>
    <col min="15" max="15" width="26.708" bestFit="true" customWidth="true" style="0"/>
    <col min="16" max="16" width="17.71" bestFit="true" customWidth="true" style="0"/>
    <col min="17" max="17" width="19.138" bestFit="true" customWidth="true" style="0"/>
    <col min="18" max="18" width="22.28" bestFit="true" customWidth="true" style="0"/>
  </cols>
  <sheetData>
    <row r="1" spans="1:18">
      <c r="A1" s="6" t="s">
        <v>46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  <c r="K1" s="6" t="s">
        <v>56</v>
      </c>
      <c r="L1" s="6" t="s">
        <v>57</v>
      </c>
      <c r="M1" s="6" t="s">
        <v>58</v>
      </c>
      <c r="N1" s="6" t="s">
        <v>59</v>
      </c>
      <c r="O1" s="6" t="s">
        <v>60</v>
      </c>
      <c r="P1" s="6" t="s">
        <v>61</v>
      </c>
      <c r="Q1" s="6" t="s">
        <v>62</v>
      </c>
      <c r="R1" s="6" t="s">
        <v>40</v>
      </c>
    </row>
    <row r="2" spans="1:18">
      <c r="A2" t="s">
        <v>63</v>
      </c>
      <c r="B2" t="s">
        <v>37</v>
      </c>
      <c r="C2" t="s">
        <v>64</v>
      </c>
      <c r="D2" t="s">
        <v>10</v>
      </c>
      <c r="E2" t="s">
        <v>65</v>
      </c>
      <c r="F2">
        <v>37232657785</v>
      </c>
      <c r="G2" t="s">
        <v>66</v>
      </c>
      <c r="H2" t="s">
        <v>2</v>
      </c>
      <c r="I2" t="s">
        <v>67</v>
      </c>
      <c r="J2">
        <v>3</v>
      </c>
      <c r="K2" t="s">
        <v>68</v>
      </c>
      <c r="L2">
        <v>5</v>
      </c>
      <c r="M2">
        <v>3</v>
      </c>
      <c r="N2">
        <v>5</v>
      </c>
      <c r="O2">
        <v>3</v>
      </c>
      <c r="P2" t="s">
        <v>69</v>
      </c>
      <c r="Q2">
        <v>595031112</v>
      </c>
    </row>
    <row r="3" spans="1:18">
      <c r="A3" t="s">
        <v>70</v>
      </c>
      <c r="B3" t="s">
        <v>71</v>
      </c>
      <c r="C3" t="s">
        <v>64</v>
      </c>
      <c r="D3" t="s">
        <v>8</v>
      </c>
      <c r="E3" t="s">
        <v>72</v>
      </c>
      <c r="F3">
        <v>0</v>
      </c>
      <c r="G3" t="s">
        <v>73</v>
      </c>
      <c r="K3" t="s">
        <v>74</v>
      </c>
      <c r="P3" t="s">
        <v>69</v>
      </c>
    </row>
    <row r="4" spans="1:18">
      <c r="A4" t="s">
        <v>75</v>
      </c>
      <c r="B4" t="s">
        <v>37</v>
      </c>
      <c r="C4" t="s">
        <v>76</v>
      </c>
      <c r="D4" t="s">
        <v>3</v>
      </c>
      <c r="E4" t="s">
        <v>77</v>
      </c>
      <c r="F4">
        <v>37232657553</v>
      </c>
      <c r="G4" t="s">
        <v>66</v>
      </c>
      <c r="H4" t="s">
        <v>2</v>
      </c>
      <c r="I4" t="s">
        <v>78</v>
      </c>
      <c r="J4">
        <v>3.5</v>
      </c>
      <c r="K4" t="s">
        <v>68</v>
      </c>
      <c r="L4">
        <v>4</v>
      </c>
      <c r="M4">
        <v>2</v>
      </c>
      <c r="N4">
        <v>2</v>
      </c>
      <c r="O4">
        <v>4</v>
      </c>
      <c r="P4" t="s">
        <v>69</v>
      </c>
      <c r="Q4">
        <v>532574083</v>
      </c>
      <c r="R4" t="s">
        <v>79</v>
      </c>
    </row>
    <row r="5" spans="1:18">
      <c r="A5" t="s">
        <v>80</v>
      </c>
      <c r="B5" t="s">
        <v>37</v>
      </c>
      <c r="C5" t="s">
        <v>76</v>
      </c>
      <c r="D5" t="s">
        <v>3</v>
      </c>
      <c r="E5" t="s">
        <v>77</v>
      </c>
      <c r="K5" t="s">
        <v>68</v>
      </c>
      <c r="L5">
        <v>2</v>
      </c>
      <c r="M5">
        <v>1</v>
      </c>
      <c r="N5">
        <v>2</v>
      </c>
      <c r="O5">
        <v>1</v>
      </c>
      <c r="P5" t="s">
        <v>69</v>
      </c>
      <c r="Q5">
        <v>595435109</v>
      </c>
      <c r="R5" t="s">
        <v>79</v>
      </c>
    </row>
    <row r="6" spans="1:18">
      <c r="A6" t="s">
        <v>81</v>
      </c>
      <c r="B6" t="s">
        <v>71</v>
      </c>
      <c r="C6" t="s">
        <v>64</v>
      </c>
      <c r="D6" t="s">
        <v>8</v>
      </c>
      <c r="E6" t="s">
        <v>72</v>
      </c>
      <c r="F6">
        <v>0</v>
      </c>
      <c r="G6" t="s">
        <v>73</v>
      </c>
      <c r="K6" t="s">
        <v>74</v>
      </c>
      <c r="P6" t="s">
        <v>69</v>
      </c>
    </row>
    <row r="7" spans="1:18">
      <c r="A7" t="s">
        <v>82</v>
      </c>
      <c r="B7" t="s">
        <v>83</v>
      </c>
      <c r="C7" t="s">
        <v>64</v>
      </c>
      <c r="D7" t="s">
        <v>8</v>
      </c>
      <c r="E7" t="s">
        <v>72</v>
      </c>
      <c r="K7" t="s">
        <v>74</v>
      </c>
      <c r="P7" t="s">
        <v>69</v>
      </c>
    </row>
    <row r="8" spans="1:18">
      <c r="A8" t="s">
        <v>84</v>
      </c>
      <c r="B8" t="s">
        <v>37</v>
      </c>
      <c r="C8" t="s">
        <v>76</v>
      </c>
      <c r="D8" t="s">
        <v>5</v>
      </c>
      <c r="E8" t="s">
        <v>77</v>
      </c>
      <c r="F8">
        <v>37232657603</v>
      </c>
      <c r="G8" t="s">
        <v>66</v>
      </c>
      <c r="H8" t="s">
        <v>2</v>
      </c>
      <c r="I8" t="s">
        <v>78</v>
      </c>
      <c r="J8">
        <v>3.5</v>
      </c>
      <c r="K8" t="s">
        <v>68</v>
      </c>
      <c r="L8">
        <v>2</v>
      </c>
      <c r="M8">
        <v>4</v>
      </c>
      <c r="N8">
        <v>2</v>
      </c>
      <c r="O8">
        <v>4</v>
      </c>
      <c r="P8" t="s">
        <v>69</v>
      </c>
      <c r="Q8">
        <v>599546561</v>
      </c>
    </row>
    <row r="9" spans="1:18">
      <c r="A9" t="s">
        <v>85</v>
      </c>
      <c r="B9" t="s">
        <v>71</v>
      </c>
      <c r="C9" t="s">
        <v>64</v>
      </c>
      <c r="D9" t="s">
        <v>8</v>
      </c>
      <c r="E9" t="s">
        <v>72</v>
      </c>
      <c r="F9">
        <v>0</v>
      </c>
      <c r="G9" t="s">
        <v>73</v>
      </c>
      <c r="K9" t="s">
        <v>74</v>
      </c>
      <c r="P9" t="s">
        <v>69</v>
      </c>
    </row>
    <row r="10" spans="1:18">
      <c r="A10" t="s">
        <v>86</v>
      </c>
      <c r="B10" t="s">
        <v>71</v>
      </c>
      <c r="C10" t="s">
        <v>64</v>
      </c>
      <c r="D10" t="s">
        <v>8</v>
      </c>
      <c r="E10" t="s">
        <v>72</v>
      </c>
      <c r="F10">
        <v>0</v>
      </c>
      <c r="G10" t="s">
        <v>73</v>
      </c>
      <c r="K10" t="s">
        <v>74</v>
      </c>
      <c r="P10" t="s">
        <v>69</v>
      </c>
    </row>
    <row r="11" spans="1:18">
      <c r="A11" t="s">
        <v>87</v>
      </c>
      <c r="B11" t="s">
        <v>71</v>
      </c>
      <c r="C11" t="s">
        <v>64</v>
      </c>
      <c r="D11" t="s">
        <v>8</v>
      </c>
      <c r="E11" t="s">
        <v>72</v>
      </c>
      <c r="F11">
        <v>0</v>
      </c>
      <c r="G11" t="s">
        <v>73</v>
      </c>
      <c r="K11" t="s">
        <v>74</v>
      </c>
      <c r="P11" t="s">
        <v>69</v>
      </c>
    </row>
    <row r="12" spans="1:18">
      <c r="A12" t="s">
        <v>88</v>
      </c>
      <c r="B12" t="s">
        <v>37</v>
      </c>
      <c r="C12" t="s">
        <v>64</v>
      </c>
      <c r="D12" t="s">
        <v>6</v>
      </c>
      <c r="E12" t="s">
        <v>65</v>
      </c>
      <c r="F12">
        <v>37232660037</v>
      </c>
      <c r="G12" t="s">
        <v>66</v>
      </c>
      <c r="H12" t="s">
        <v>2</v>
      </c>
      <c r="I12" t="s">
        <v>67</v>
      </c>
      <c r="J12">
        <v>3</v>
      </c>
      <c r="K12" t="s">
        <v>74</v>
      </c>
      <c r="P12" t="s">
        <v>69</v>
      </c>
      <c r="Q12" t="s">
        <v>89</v>
      </c>
    </row>
    <row r="13" spans="1:18">
      <c r="A13" t="s">
        <v>90</v>
      </c>
      <c r="B13" t="s">
        <v>37</v>
      </c>
      <c r="C13" t="s">
        <v>64</v>
      </c>
      <c r="D13" t="s">
        <v>6</v>
      </c>
      <c r="E13" t="s">
        <v>65</v>
      </c>
      <c r="F13">
        <v>37209556689</v>
      </c>
      <c r="G13" t="s">
        <v>66</v>
      </c>
      <c r="H13" t="s">
        <v>2</v>
      </c>
      <c r="I13" t="s">
        <v>67</v>
      </c>
      <c r="J13">
        <v>3</v>
      </c>
      <c r="K13" t="s">
        <v>74</v>
      </c>
      <c r="P13" t="s">
        <v>69</v>
      </c>
      <c r="Q13" t="s">
        <v>91</v>
      </c>
    </row>
    <row r="14" spans="1:18">
      <c r="A14" t="s">
        <v>92</v>
      </c>
      <c r="B14" t="s">
        <v>83</v>
      </c>
      <c r="C14" t="s">
        <v>64</v>
      </c>
      <c r="D14" t="s">
        <v>8</v>
      </c>
      <c r="E14" t="s">
        <v>72</v>
      </c>
      <c r="K14" t="s">
        <v>74</v>
      </c>
      <c r="P14" t="s">
        <v>69</v>
      </c>
    </row>
    <row r="15" spans="1:18">
      <c r="A15" t="s">
        <v>93</v>
      </c>
      <c r="B15" t="s">
        <v>37</v>
      </c>
      <c r="C15" t="s">
        <v>64</v>
      </c>
      <c r="D15" t="s">
        <v>6</v>
      </c>
      <c r="E15" t="s">
        <v>65</v>
      </c>
      <c r="K15" t="s">
        <v>74</v>
      </c>
      <c r="P15" t="s">
        <v>69</v>
      </c>
      <c r="Q15" t="s">
        <v>94</v>
      </c>
    </row>
    <row r="16" spans="1:18">
      <c r="A16" t="s">
        <v>95</v>
      </c>
      <c r="B16" t="s">
        <v>83</v>
      </c>
      <c r="C16" t="s">
        <v>64</v>
      </c>
      <c r="D16" t="s">
        <v>8</v>
      </c>
      <c r="E16" t="s">
        <v>72</v>
      </c>
      <c r="K16" t="s">
        <v>74</v>
      </c>
      <c r="P16" t="s">
        <v>69</v>
      </c>
    </row>
    <row r="17" spans="1:18">
      <c r="A17" t="s">
        <v>96</v>
      </c>
      <c r="B17" t="s">
        <v>71</v>
      </c>
      <c r="C17" t="s">
        <v>64</v>
      </c>
      <c r="D17" t="s">
        <v>8</v>
      </c>
      <c r="E17" t="s">
        <v>72</v>
      </c>
      <c r="F17">
        <v>0</v>
      </c>
      <c r="G17" t="s">
        <v>73</v>
      </c>
      <c r="K17" t="s">
        <v>74</v>
      </c>
      <c r="P17" t="s">
        <v>69</v>
      </c>
    </row>
    <row r="18" spans="1:18">
      <c r="A18" t="s">
        <v>97</v>
      </c>
      <c r="B18" t="s">
        <v>37</v>
      </c>
      <c r="C18" t="s">
        <v>76</v>
      </c>
      <c r="D18" t="s">
        <v>5</v>
      </c>
      <c r="E18" t="s">
        <v>77</v>
      </c>
      <c r="F18">
        <v>37232657637</v>
      </c>
      <c r="G18" t="s">
        <v>66</v>
      </c>
      <c r="H18" t="s">
        <v>2</v>
      </c>
      <c r="I18" t="s">
        <v>78</v>
      </c>
      <c r="J18">
        <v>3.5</v>
      </c>
      <c r="K18" t="s">
        <v>68</v>
      </c>
      <c r="L18">
        <v>5</v>
      </c>
      <c r="M18">
        <v>2</v>
      </c>
      <c r="N18">
        <v>3</v>
      </c>
      <c r="O18">
        <v>4</v>
      </c>
      <c r="P18" t="s">
        <v>69</v>
      </c>
      <c r="Q18">
        <v>598156310</v>
      </c>
    </row>
    <row r="19" spans="1:18">
      <c r="A19" t="s">
        <v>98</v>
      </c>
      <c r="B19" t="s">
        <v>83</v>
      </c>
      <c r="C19" t="s">
        <v>76</v>
      </c>
      <c r="D19" t="s">
        <v>4</v>
      </c>
      <c r="E19" t="s">
        <v>77</v>
      </c>
      <c r="K19" t="s">
        <v>68</v>
      </c>
      <c r="L19">
        <v>1</v>
      </c>
      <c r="M19">
        <v>1</v>
      </c>
      <c r="N19">
        <v>2</v>
      </c>
      <c r="P19" t="s">
        <v>69</v>
      </c>
      <c r="Q19">
        <v>595797855</v>
      </c>
    </row>
    <row r="20" spans="1:18">
      <c r="A20" t="s">
        <v>99</v>
      </c>
      <c r="B20" t="s">
        <v>37</v>
      </c>
      <c r="C20" t="s">
        <v>76</v>
      </c>
      <c r="D20" t="s">
        <v>5</v>
      </c>
      <c r="E20" t="s">
        <v>77</v>
      </c>
      <c r="K20" t="s">
        <v>68</v>
      </c>
      <c r="L20">
        <v>1</v>
      </c>
      <c r="M20">
        <v>1</v>
      </c>
      <c r="N20">
        <v>2</v>
      </c>
      <c r="P20" t="s">
        <v>69</v>
      </c>
      <c r="Q20">
        <v>599114120</v>
      </c>
    </row>
    <row r="21" spans="1:18">
      <c r="A21" t="s">
        <v>100</v>
      </c>
      <c r="B21" t="s">
        <v>37</v>
      </c>
      <c r="C21" t="s">
        <v>76</v>
      </c>
      <c r="D21" t="s">
        <v>5</v>
      </c>
      <c r="E21" t="s">
        <v>77</v>
      </c>
      <c r="F21">
        <v>37232657736</v>
      </c>
      <c r="G21" t="s">
        <v>66</v>
      </c>
      <c r="H21" t="s">
        <v>2</v>
      </c>
      <c r="I21" t="s">
        <v>78</v>
      </c>
      <c r="J21">
        <v>7</v>
      </c>
      <c r="K21" t="s">
        <v>68</v>
      </c>
      <c r="L21">
        <v>1</v>
      </c>
      <c r="M21">
        <v>3</v>
      </c>
      <c r="N21">
        <v>2</v>
      </c>
      <c r="O21">
        <v>2</v>
      </c>
      <c r="P21" t="s">
        <v>69</v>
      </c>
      <c r="Q21">
        <v>598628391</v>
      </c>
    </row>
    <row r="22" spans="1:18">
      <c r="A22" t="s">
        <v>101</v>
      </c>
      <c r="B22" t="s">
        <v>83</v>
      </c>
      <c r="C22" t="s">
        <v>64</v>
      </c>
      <c r="D22" t="s">
        <v>8</v>
      </c>
      <c r="E22" t="s">
        <v>72</v>
      </c>
      <c r="K22" t="s">
        <v>74</v>
      </c>
      <c r="P22" t="s">
        <v>69</v>
      </c>
    </row>
    <row r="23" spans="1:18">
      <c r="A23" t="s">
        <v>102</v>
      </c>
      <c r="B23" t="s">
        <v>37</v>
      </c>
      <c r="C23" t="s">
        <v>76</v>
      </c>
      <c r="D23" t="s">
        <v>0</v>
      </c>
      <c r="E23" t="s">
        <v>77</v>
      </c>
      <c r="F23">
        <v>37232655086</v>
      </c>
      <c r="G23" t="s">
        <v>66</v>
      </c>
      <c r="H23" t="s">
        <v>2</v>
      </c>
      <c r="I23" t="s">
        <v>103</v>
      </c>
      <c r="J23">
        <v>14</v>
      </c>
      <c r="K23" t="s">
        <v>68</v>
      </c>
      <c r="L23">
        <v>3</v>
      </c>
      <c r="M23">
        <v>2</v>
      </c>
      <c r="N23">
        <v>4</v>
      </c>
      <c r="O23">
        <v>1</v>
      </c>
      <c r="P23" t="s">
        <v>69</v>
      </c>
      <c r="Q23">
        <v>598316829</v>
      </c>
      <c r="R23" t="s">
        <v>79</v>
      </c>
    </row>
    <row r="24" spans="1:18">
      <c r="A24" t="s">
        <v>104</v>
      </c>
      <c r="B24" t="s">
        <v>37</v>
      </c>
      <c r="C24" t="s">
        <v>64</v>
      </c>
      <c r="D24" t="s">
        <v>10</v>
      </c>
      <c r="E24" t="s">
        <v>65</v>
      </c>
      <c r="F24">
        <v>37187800786</v>
      </c>
      <c r="G24" t="s">
        <v>66</v>
      </c>
      <c r="H24" t="s">
        <v>2</v>
      </c>
      <c r="I24" t="s">
        <v>67</v>
      </c>
      <c r="J24">
        <v>3</v>
      </c>
      <c r="K24" t="s">
        <v>68</v>
      </c>
      <c r="L24">
        <v>2</v>
      </c>
      <c r="M24">
        <v>2</v>
      </c>
      <c r="N24">
        <v>2</v>
      </c>
      <c r="O24">
        <v>2</v>
      </c>
      <c r="P24" t="s">
        <v>69</v>
      </c>
      <c r="Q24">
        <v>522945879</v>
      </c>
    </row>
    <row r="25" spans="1:18">
      <c r="A25" t="s">
        <v>105</v>
      </c>
      <c r="B25" t="s">
        <v>37</v>
      </c>
      <c r="C25" t="s">
        <v>76</v>
      </c>
      <c r="D25" t="s">
        <v>3</v>
      </c>
      <c r="E25" t="s">
        <v>77</v>
      </c>
      <c r="K25" t="s">
        <v>68</v>
      </c>
      <c r="L25">
        <v>2</v>
      </c>
      <c r="M25">
        <v>1</v>
      </c>
      <c r="N25">
        <v>2</v>
      </c>
      <c r="O25">
        <v>1</v>
      </c>
      <c r="P25" t="s">
        <v>69</v>
      </c>
      <c r="Q25">
        <v>536665435</v>
      </c>
      <c r="R25" t="s">
        <v>79</v>
      </c>
    </row>
    <row r="26" spans="1:18">
      <c r="A26" t="s">
        <v>106</v>
      </c>
      <c r="B26" t="s">
        <v>37</v>
      </c>
      <c r="C26" t="s">
        <v>76</v>
      </c>
      <c r="D26" t="s">
        <v>3</v>
      </c>
      <c r="E26" t="s">
        <v>77</v>
      </c>
      <c r="F26">
        <v>37232657710</v>
      </c>
      <c r="G26" t="s">
        <v>66</v>
      </c>
      <c r="H26" t="s">
        <v>2</v>
      </c>
      <c r="J26">
        <v>14</v>
      </c>
      <c r="K26" t="s">
        <v>68</v>
      </c>
      <c r="L26">
        <v>2</v>
      </c>
      <c r="M26">
        <v>2</v>
      </c>
      <c r="N26">
        <v>2</v>
      </c>
      <c r="O26">
        <v>2</v>
      </c>
      <c r="P26" t="s">
        <v>69</v>
      </c>
      <c r="Q26">
        <v>598458830</v>
      </c>
      <c r="R26" t="s">
        <v>79</v>
      </c>
    </row>
    <row r="27" spans="1:18">
      <c r="A27" t="s">
        <v>107</v>
      </c>
      <c r="B27" t="s">
        <v>83</v>
      </c>
      <c r="C27" t="s">
        <v>76</v>
      </c>
      <c r="D27" t="s">
        <v>4</v>
      </c>
      <c r="E27" t="s">
        <v>77</v>
      </c>
      <c r="F27">
        <v>0</v>
      </c>
      <c r="G27" t="s">
        <v>73</v>
      </c>
      <c r="K27" t="s">
        <v>68</v>
      </c>
      <c r="L27">
        <v>3</v>
      </c>
      <c r="M27">
        <v>3</v>
      </c>
      <c r="N27">
        <v>4</v>
      </c>
      <c r="O27">
        <v>2</v>
      </c>
      <c r="P27" t="s">
        <v>69</v>
      </c>
      <c r="Q27">
        <v>566990568</v>
      </c>
    </row>
    <row r="28" spans="1:18">
      <c r="A28" t="s">
        <v>108</v>
      </c>
      <c r="B28" t="s">
        <v>71</v>
      </c>
      <c r="C28" t="s">
        <v>64</v>
      </c>
      <c r="D28" t="s">
        <v>8</v>
      </c>
      <c r="E28" t="s">
        <v>72</v>
      </c>
      <c r="F28">
        <v>0</v>
      </c>
      <c r="G28" t="s">
        <v>73</v>
      </c>
      <c r="K28" t="s">
        <v>74</v>
      </c>
      <c r="P28" t="s">
        <v>69</v>
      </c>
    </row>
    <row r="29" spans="1:18">
      <c r="A29" t="s">
        <v>109</v>
      </c>
      <c r="B29" t="s">
        <v>37</v>
      </c>
      <c r="C29" t="s">
        <v>76</v>
      </c>
      <c r="D29" t="s">
        <v>3</v>
      </c>
      <c r="E29" t="s">
        <v>77</v>
      </c>
      <c r="K29" t="s">
        <v>68</v>
      </c>
      <c r="L29">
        <v>2</v>
      </c>
      <c r="M29">
        <v>2</v>
      </c>
      <c r="N29">
        <v>2</v>
      </c>
      <c r="O29">
        <v>2</v>
      </c>
      <c r="P29" t="s">
        <v>69</v>
      </c>
      <c r="Q29">
        <v>597940458</v>
      </c>
      <c r="R29" t="s">
        <v>79</v>
      </c>
    </row>
    <row r="30" spans="1:18">
      <c r="A30" t="s">
        <v>110</v>
      </c>
      <c r="B30" t="s">
        <v>37</v>
      </c>
      <c r="C30" t="s">
        <v>76</v>
      </c>
      <c r="D30" t="s">
        <v>4</v>
      </c>
      <c r="E30" t="s">
        <v>77</v>
      </c>
      <c r="F30">
        <v>37232657611</v>
      </c>
      <c r="G30" t="s">
        <v>66</v>
      </c>
      <c r="H30" t="s">
        <v>2</v>
      </c>
      <c r="I30" t="s">
        <v>111</v>
      </c>
      <c r="J30">
        <v>7</v>
      </c>
      <c r="K30" t="s">
        <v>68</v>
      </c>
      <c r="L30">
        <v>3</v>
      </c>
      <c r="M30">
        <v>3</v>
      </c>
      <c r="N30">
        <v>2</v>
      </c>
      <c r="O30">
        <v>4</v>
      </c>
      <c r="P30" t="s">
        <v>69</v>
      </c>
      <c r="Q30" t="s">
        <v>112</v>
      </c>
    </row>
    <row r="31" spans="1:18">
      <c r="A31" t="s">
        <v>113</v>
      </c>
      <c r="B31" t="s">
        <v>83</v>
      </c>
      <c r="C31" t="s">
        <v>64</v>
      </c>
      <c r="D31" t="s">
        <v>8</v>
      </c>
      <c r="E31" t="s">
        <v>72</v>
      </c>
      <c r="K31" t="s">
        <v>74</v>
      </c>
      <c r="P31" t="s">
        <v>69</v>
      </c>
    </row>
    <row r="32" spans="1:18">
      <c r="A32" t="s">
        <v>114</v>
      </c>
      <c r="B32" t="s">
        <v>37</v>
      </c>
      <c r="C32" t="s">
        <v>76</v>
      </c>
      <c r="D32" t="s">
        <v>0</v>
      </c>
      <c r="E32" t="s">
        <v>77</v>
      </c>
      <c r="K32" t="s">
        <v>68</v>
      </c>
      <c r="L32">
        <v>3</v>
      </c>
      <c r="M32">
        <v>1</v>
      </c>
      <c r="N32">
        <v>2</v>
      </c>
      <c r="O32">
        <v>2</v>
      </c>
      <c r="P32" t="s">
        <v>69</v>
      </c>
      <c r="Q32">
        <v>598316829</v>
      </c>
      <c r="R32" t="s">
        <v>79</v>
      </c>
    </row>
    <row r="33" spans="1:18">
      <c r="A33" t="s">
        <v>115</v>
      </c>
      <c r="B33" t="s">
        <v>37</v>
      </c>
      <c r="C33" t="s">
        <v>76</v>
      </c>
      <c r="D33" t="s">
        <v>4</v>
      </c>
      <c r="E33" t="s">
        <v>77</v>
      </c>
      <c r="F33">
        <v>37232654998</v>
      </c>
      <c r="G33" t="s">
        <v>66</v>
      </c>
      <c r="H33" t="s">
        <v>2</v>
      </c>
      <c r="I33" t="s">
        <v>116</v>
      </c>
      <c r="J33">
        <v>4</v>
      </c>
      <c r="K33" t="s">
        <v>68</v>
      </c>
      <c r="L33">
        <v>2</v>
      </c>
      <c r="M33">
        <v>2</v>
      </c>
      <c r="N33">
        <v>2</v>
      </c>
      <c r="O33">
        <v>2</v>
      </c>
      <c r="P33" t="s">
        <v>69</v>
      </c>
      <c r="Q33" t="s">
        <v>117</v>
      </c>
    </row>
    <row r="34" spans="1:18">
      <c r="A34" t="s">
        <v>118</v>
      </c>
      <c r="B34" t="s">
        <v>71</v>
      </c>
      <c r="C34" t="s">
        <v>64</v>
      </c>
      <c r="D34" t="s">
        <v>8</v>
      </c>
      <c r="E34" t="s">
        <v>72</v>
      </c>
      <c r="F34">
        <v>0</v>
      </c>
      <c r="G34" t="s">
        <v>73</v>
      </c>
      <c r="K34" t="s">
        <v>74</v>
      </c>
      <c r="P34" t="s">
        <v>69</v>
      </c>
    </row>
    <row r="35" spans="1:18">
      <c r="A35" t="s">
        <v>119</v>
      </c>
      <c r="B35" t="s">
        <v>71</v>
      </c>
      <c r="C35" t="s">
        <v>64</v>
      </c>
      <c r="D35" t="s">
        <v>8</v>
      </c>
      <c r="E35" t="s">
        <v>72</v>
      </c>
      <c r="F35">
        <v>0</v>
      </c>
      <c r="G35" t="s">
        <v>73</v>
      </c>
      <c r="K35" t="s">
        <v>74</v>
      </c>
      <c r="P35" t="s">
        <v>69</v>
      </c>
    </row>
    <row r="36" spans="1:18">
      <c r="A36" t="s">
        <v>120</v>
      </c>
      <c r="B36" t="s">
        <v>37</v>
      </c>
      <c r="C36" t="s">
        <v>76</v>
      </c>
      <c r="D36" t="s">
        <v>0</v>
      </c>
      <c r="E36" t="s">
        <v>77</v>
      </c>
      <c r="K36" t="s">
        <v>68</v>
      </c>
      <c r="L36">
        <v>3</v>
      </c>
      <c r="M36">
        <v>3</v>
      </c>
      <c r="N36">
        <v>2</v>
      </c>
      <c r="O36">
        <v>4</v>
      </c>
      <c r="P36" t="s">
        <v>69</v>
      </c>
      <c r="Q36">
        <v>598316829</v>
      </c>
      <c r="R36" t="s">
        <v>79</v>
      </c>
    </row>
    <row r="37" spans="1:18">
      <c r="A37" t="s">
        <v>121</v>
      </c>
      <c r="B37" t="s">
        <v>83</v>
      </c>
      <c r="C37" t="s">
        <v>76</v>
      </c>
      <c r="D37" t="s">
        <v>4</v>
      </c>
      <c r="E37" t="s">
        <v>77</v>
      </c>
      <c r="F37">
        <v>0</v>
      </c>
      <c r="G37" t="s">
        <v>73</v>
      </c>
      <c r="K37" t="s">
        <v>68</v>
      </c>
      <c r="L37">
        <v>2</v>
      </c>
      <c r="M37">
        <v>2</v>
      </c>
      <c r="N37">
        <v>2</v>
      </c>
      <c r="O37">
        <v>2</v>
      </c>
      <c r="P37" t="s">
        <v>69</v>
      </c>
      <c r="Q37">
        <v>566990568</v>
      </c>
    </row>
    <row r="38" spans="1:18">
      <c r="A38" t="s">
        <v>122</v>
      </c>
      <c r="B38" t="s">
        <v>37</v>
      </c>
      <c r="C38" t="s">
        <v>76</v>
      </c>
      <c r="D38" t="s">
        <v>0</v>
      </c>
      <c r="E38" t="s">
        <v>77</v>
      </c>
      <c r="K38" t="s">
        <v>68</v>
      </c>
      <c r="L38">
        <v>2</v>
      </c>
      <c r="M38">
        <v>2</v>
      </c>
      <c r="N38">
        <v>2</v>
      </c>
      <c r="O38">
        <v>2</v>
      </c>
      <c r="P38" t="s">
        <v>69</v>
      </c>
      <c r="Q38">
        <v>598316829</v>
      </c>
      <c r="R38" t="s">
        <v>79</v>
      </c>
    </row>
    <row r="39" spans="1:18">
      <c r="A39" t="s">
        <v>123</v>
      </c>
      <c r="B39" t="s">
        <v>37</v>
      </c>
      <c r="C39" t="s">
        <v>64</v>
      </c>
      <c r="D39" t="s">
        <v>6</v>
      </c>
      <c r="E39" t="s">
        <v>65</v>
      </c>
      <c r="K39" t="s">
        <v>68</v>
      </c>
      <c r="L39">
        <v>3</v>
      </c>
      <c r="M39">
        <v>3</v>
      </c>
      <c r="N39">
        <v>6</v>
      </c>
      <c r="P39" t="s">
        <v>69</v>
      </c>
      <c r="Q39">
        <v>515361730</v>
      </c>
    </row>
    <row r="40" spans="1:18">
      <c r="A40" t="s">
        <v>124</v>
      </c>
      <c r="B40" t="s">
        <v>71</v>
      </c>
      <c r="C40" t="s">
        <v>64</v>
      </c>
      <c r="D40" t="s">
        <v>8</v>
      </c>
      <c r="E40" t="s">
        <v>72</v>
      </c>
      <c r="F40">
        <v>0</v>
      </c>
      <c r="G40" t="s">
        <v>73</v>
      </c>
      <c r="K40" t="s">
        <v>74</v>
      </c>
      <c r="P40" t="s">
        <v>69</v>
      </c>
    </row>
    <row r="41" spans="1:18">
      <c r="A41" t="s">
        <v>125</v>
      </c>
      <c r="B41" t="s">
        <v>37</v>
      </c>
      <c r="C41" t="s">
        <v>19</v>
      </c>
      <c r="D41" t="s">
        <v>44</v>
      </c>
      <c r="E41" t="s">
        <v>65</v>
      </c>
      <c r="F41">
        <v>37232654055</v>
      </c>
      <c r="G41" t="s">
        <v>66</v>
      </c>
      <c r="H41" t="s">
        <v>2</v>
      </c>
      <c r="I41" t="s">
        <v>126</v>
      </c>
      <c r="J41">
        <v>3</v>
      </c>
      <c r="K41" t="s">
        <v>68</v>
      </c>
      <c r="L41">
        <v>2</v>
      </c>
      <c r="M41">
        <v>2</v>
      </c>
      <c r="N41">
        <v>4</v>
      </c>
      <c r="P41" t="s">
        <v>69</v>
      </c>
      <c r="Q41">
        <v>595568814</v>
      </c>
      <c r="R41" t="s">
        <v>79</v>
      </c>
    </row>
    <row r="42" spans="1:18">
      <c r="A42" t="s">
        <v>127</v>
      </c>
      <c r="B42" t="s">
        <v>71</v>
      </c>
      <c r="C42" t="s">
        <v>15</v>
      </c>
      <c r="D42" t="s">
        <v>44</v>
      </c>
      <c r="F42">
        <v>0</v>
      </c>
      <c r="G42" t="s">
        <v>73</v>
      </c>
      <c r="K42" t="s">
        <v>68</v>
      </c>
      <c r="L42">
        <v>4</v>
      </c>
      <c r="M42">
        <v>2</v>
      </c>
      <c r="N42">
        <v>2</v>
      </c>
      <c r="O42">
        <v>4</v>
      </c>
      <c r="P42" t="s">
        <v>69</v>
      </c>
      <c r="Q42">
        <v>512166415</v>
      </c>
    </row>
    <row r="43" spans="1:18">
      <c r="A43" t="s">
        <v>128</v>
      </c>
      <c r="B43" t="s">
        <v>37</v>
      </c>
      <c r="C43" t="s">
        <v>17</v>
      </c>
      <c r="D43" t="s">
        <v>44</v>
      </c>
      <c r="E43" t="s">
        <v>65</v>
      </c>
      <c r="F43">
        <v>37232653230</v>
      </c>
      <c r="G43" t="s">
        <v>66</v>
      </c>
      <c r="H43" t="s">
        <v>2</v>
      </c>
      <c r="I43" t="s">
        <v>129</v>
      </c>
      <c r="J43">
        <v>3</v>
      </c>
      <c r="K43" t="s">
        <v>68</v>
      </c>
      <c r="L43">
        <v>1</v>
      </c>
      <c r="M43">
        <v>1</v>
      </c>
      <c r="N43">
        <v>2</v>
      </c>
      <c r="P43" t="s">
        <v>69</v>
      </c>
      <c r="Q43">
        <v>597949903</v>
      </c>
      <c r="R43" t="s">
        <v>130</v>
      </c>
    </row>
    <row r="44" spans="1:18">
      <c r="A44" t="s">
        <v>131</v>
      </c>
      <c r="B44" t="s">
        <v>37</v>
      </c>
      <c r="C44" t="s">
        <v>17</v>
      </c>
      <c r="D44" t="s">
        <v>44</v>
      </c>
      <c r="E44" t="s">
        <v>65</v>
      </c>
      <c r="F44">
        <v>37187801818</v>
      </c>
      <c r="G44" t="s">
        <v>66</v>
      </c>
      <c r="H44" t="s">
        <v>2</v>
      </c>
      <c r="I44" t="s">
        <v>132</v>
      </c>
      <c r="J44">
        <v>3</v>
      </c>
      <c r="K44" t="s">
        <v>68</v>
      </c>
      <c r="L44">
        <v>2</v>
      </c>
      <c r="M44">
        <v>3</v>
      </c>
      <c r="N44">
        <v>2</v>
      </c>
      <c r="O44">
        <v>3</v>
      </c>
      <c r="P44" t="s">
        <v>69</v>
      </c>
      <c r="Q44">
        <v>568650640</v>
      </c>
      <c r="R44" t="s">
        <v>130</v>
      </c>
    </row>
    <row r="45" spans="1:18">
      <c r="A45" t="s">
        <v>133</v>
      </c>
      <c r="B45" t="s">
        <v>134</v>
      </c>
      <c r="C45" t="s">
        <v>13</v>
      </c>
      <c r="D45" t="s">
        <v>44</v>
      </c>
      <c r="E45" t="s">
        <v>65</v>
      </c>
      <c r="K45" t="s">
        <v>68</v>
      </c>
      <c r="L45">
        <v>1</v>
      </c>
      <c r="M45">
        <v>1</v>
      </c>
      <c r="P45" t="s">
        <v>61</v>
      </c>
      <c r="Q45" t="s">
        <v>135</v>
      </c>
    </row>
    <row r="46" spans="1:18">
      <c r="A46" t="s">
        <v>136</v>
      </c>
      <c r="B46" t="s">
        <v>37</v>
      </c>
      <c r="C46" t="s">
        <v>19</v>
      </c>
      <c r="D46" t="s">
        <v>44</v>
      </c>
      <c r="E46" t="s">
        <v>65</v>
      </c>
      <c r="F46">
        <v>37232655433</v>
      </c>
      <c r="G46" t="s">
        <v>66</v>
      </c>
      <c r="H46" t="s">
        <v>2</v>
      </c>
      <c r="I46" t="s">
        <v>137</v>
      </c>
      <c r="J46">
        <v>3</v>
      </c>
      <c r="K46" t="s">
        <v>68</v>
      </c>
      <c r="L46">
        <v>1</v>
      </c>
      <c r="M46">
        <v>2</v>
      </c>
      <c r="N46">
        <v>2</v>
      </c>
      <c r="O46">
        <v>1</v>
      </c>
      <c r="P46" t="s">
        <v>69</v>
      </c>
      <c r="Q46">
        <v>595191932</v>
      </c>
      <c r="R46" t="s">
        <v>79</v>
      </c>
    </row>
    <row r="47" spans="1:18">
      <c r="A47" t="s">
        <v>138</v>
      </c>
      <c r="B47" t="s">
        <v>37</v>
      </c>
      <c r="C47" t="s">
        <v>19</v>
      </c>
      <c r="D47" t="s">
        <v>44</v>
      </c>
      <c r="E47" t="s">
        <v>65</v>
      </c>
      <c r="F47">
        <v>37232651036</v>
      </c>
      <c r="G47" t="s">
        <v>66</v>
      </c>
      <c r="H47" t="s">
        <v>2</v>
      </c>
      <c r="I47" t="s">
        <v>139</v>
      </c>
      <c r="J47">
        <v>3</v>
      </c>
      <c r="K47" t="s">
        <v>68</v>
      </c>
      <c r="L47">
        <v>2</v>
      </c>
      <c r="M47">
        <v>7</v>
      </c>
      <c r="N47">
        <v>4</v>
      </c>
      <c r="O47">
        <v>5</v>
      </c>
      <c r="P47" t="s">
        <v>69</v>
      </c>
      <c r="Q47">
        <v>598455377</v>
      </c>
      <c r="R47" t="s">
        <v>79</v>
      </c>
    </row>
    <row r="48" spans="1:18">
      <c r="A48" t="s">
        <v>140</v>
      </c>
      <c r="B48" t="s">
        <v>37</v>
      </c>
      <c r="C48" t="s">
        <v>19</v>
      </c>
      <c r="D48" t="s">
        <v>44</v>
      </c>
      <c r="E48" t="s">
        <v>65</v>
      </c>
      <c r="F48">
        <v>37232655680</v>
      </c>
      <c r="G48" t="s">
        <v>66</v>
      </c>
      <c r="H48" t="s">
        <v>2</v>
      </c>
      <c r="I48" t="s">
        <v>126</v>
      </c>
      <c r="J48">
        <v>3</v>
      </c>
      <c r="K48" t="s">
        <v>68</v>
      </c>
      <c r="L48">
        <v>5</v>
      </c>
      <c r="M48">
        <v>1</v>
      </c>
      <c r="N48">
        <v>2</v>
      </c>
      <c r="O48">
        <v>4</v>
      </c>
      <c r="P48" t="s">
        <v>69</v>
      </c>
      <c r="Q48">
        <v>598177946</v>
      </c>
      <c r="R48" t="s">
        <v>79</v>
      </c>
    </row>
    <row r="49" spans="1:18">
      <c r="A49" t="s">
        <v>141</v>
      </c>
      <c r="B49" t="s">
        <v>37</v>
      </c>
      <c r="C49" t="s">
        <v>19</v>
      </c>
      <c r="D49" t="s">
        <v>44</v>
      </c>
      <c r="E49" t="s">
        <v>65</v>
      </c>
      <c r="F49">
        <v>37232656159</v>
      </c>
      <c r="G49" t="s">
        <v>66</v>
      </c>
      <c r="H49" t="s">
        <v>2</v>
      </c>
      <c r="I49" t="s">
        <v>139</v>
      </c>
      <c r="J49">
        <v>3</v>
      </c>
      <c r="K49" t="s">
        <v>68</v>
      </c>
      <c r="L49">
        <v>6</v>
      </c>
      <c r="M49">
        <v>5</v>
      </c>
      <c r="N49">
        <v>5</v>
      </c>
      <c r="O49">
        <v>6</v>
      </c>
      <c r="P49" t="s">
        <v>69</v>
      </c>
      <c r="Q49">
        <v>552709700</v>
      </c>
      <c r="R49" t="s">
        <v>79</v>
      </c>
    </row>
    <row r="50" spans="1:18">
      <c r="A50" t="s">
        <v>142</v>
      </c>
      <c r="B50" t="s">
        <v>37</v>
      </c>
      <c r="C50" t="s">
        <v>17</v>
      </c>
      <c r="D50" t="s">
        <v>44</v>
      </c>
      <c r="E50" t="s">
        <v>77</v>
      </c>
      <c r="K50" t="s">
        <v>68</v>
      </c>
      <c r="L50">
        <v>2</v>
      </c>
      <c r="M50">
        <v>5</v>
      </c>
      <c r="N50">
        <v>3</v>
      </c>
      <c r="O50">
        <v>4</v>
      </c>
      <c r="P50" t="s">
        <v>69</v>
      </c>
      <c r="Q50">
        <v>522398482</v>
      </c>
      <c r="R50" t="s">
        <v>130</v>
      </c>
    </row>
    <row r="51" spans="1:18">
      <c r="A51" t="s">
        <v>143</v>
      </c>
      <c r="B51" t="s">
        <v>37</v>
      </c>
      <c r="C51" t="s">
        <v>17</v>
      </c>
      <c r="D51" t="s">
        <v>44</v>
      </c>
      <c r="E51" t="s">
        <v>65</v>
      </c>
      <c r="F51">
        <v>37209555699</v>
      </c>
      <c r="G51" t="s">
        <v>66</v>
      </c>
      <c r="H51" t="s">
        <v>2</v>
      </c>
      <c r="I51" t="s">
        <v>144</v>
      </c>
      <c r="J51">
        <v>3</v>
      </c>
      <c r="K51" t="s">
        <v>68</v>
      </c>
      <c r="L51">
        <v>5</v>
      </c>
      <c r="M51">
        <v>4</v>
      </c>
      <c r="N51">
        <v>5</v>
      </c>
      <c r="O51">
        <v>4</v>
      </c>
      <c r="P51" t="s">
        <v>69</v>
      </c>
      <c r="Q51">
        <v>537441504</v>
      </c>
      <c r="R51" t="s">
        <v>130</v>
      </c>
    </row>
    <row r="52" spans="1:18">
      <c r="A52" t="s">
        <v>145</v>
      </c>
      <c r="B52" t="s">
        <v>37</v>
      </c>
      <c r="C52" t="s">
        <v>17</v>
      </c>
      <c r="D52" t="s">
        <v>44</v>
      </c>
      <c r="E52" t="s">
        <v>77</v>
      </c>
      <c r="F52">
        <v>37232651754</v>
      </c>
      <c r="G52" t="s">
        <v>66</v>
      </c>
      <c r="H52" t="s">
        <v>2</v>
      </c>
      <c r="I52" t="s">
        <v>146</v>
      </c>
      <c r="J52">
        <v>6</v>
      </c>
      <c r="K52" t="s">
        <v>68</v>
      </c>
      <c r="L52">
        <v>2</v>
      </c>
      <c r="M52">
        <v>2</v>
      </c>
      <c r="N52">
        <v>4</v>
      </c>
      <c r="P52" t="s">
        <v>69</v>
      </c>
      <c r="Q52">
        <v>569736759</v>
      </c>
      <c r="R52" t="s">
        <v>130</v>
      </c>
    </row>
    <row r="53" spans="1:18">
      <c r="A53" t="s">
        <v>147</v>
      </c>
      <c r="B53" t="s">
        <v>37</v>
      </c>
      <c r="C53" t="s">
        <v>19</v>
      </c>
      <c r="D53" t="s">
        <v>44</v>
      </c>
      <c r="E53" t="s">
        <v>65</v>
      </c>
      <c r="F53">
        <v>37209557141</v>
      </c>
      <c r="G53" t="s">
        <v>66</v>
      </c>
      <c r="H53" t="s">
        <v>2</v>
      </c>
      <c r="I53" t="s">
        <v>137</v>
      </c>
      <c r="J53">
        <v>3</v>
      </c>
      <c r="K53" t="s">
        <v>68</v>
      </c>
      <c r="L53">
        <v>2</v>
      </c>
      <c r="M53">
        <v>2</v>
      </c>
      <c r="N53">
        <v>2</v>
      </c>
      <c r="O53">
        <v>2</v>
      </c>
      <c r="P53" t="s">
        <v>69</v>
      </c>
      <c r="Q53">
        <v>515479410</v>
      </c>
      <c r="R53" t="s">
        <v>79</v>
      </c>
    </row>
    <row r="54" spans="1:18">
      <c r="A54" t="s">
        <v>148</v>
      </c>
      <c r="B54" t="s">
        <v>37</v>
      </c>
      <c r="C54" t="s">
        <v>19</v>
      </c>
      <c r="D54" t="s">
        <v>44</v>
      </c>
      <c r="E54" t="s">
        <v>65</v>
      </c>
      <c r="F54">
        <v>37209557760</v>
      </c>
      <c r="G54" t="s">
        <v>66</v>
      </c>
      <c r="H54" t="s">
        <v>2</v>
      </c>
      <c r="I54" t="s">
        <v>126</v>
      </c>
      <c r="J54">
        <v>3</v>
      </c>
      <c r="K54" t="s">
        <v>68</v>
      </c>
      <c r="L54">
        <v>2</v>
      </c>
      <c r="M54">
        <v>4</v>
      </c>
      <c r="N54">
        <v>4</v>
      </c>
      <c r="O54">
        <v>2</v>
      </c>
      <c r="P54" t="s">
        <v>69</v>
      </c>
      <c r="Q54">
        <v>568221140</v>
      </c>
      <c r="R54" t="s">
        <v>79</v>
      </c>
    </row>
    <row r="55" spans="1:18">
      <c r="A55" t="s">
        <v>149</v>
      </c>
      <c r="B55" t="s">
        <v>150</v>
      </c>
      <c r="C55" t="s">
        <v>15</v>
      </c>
      <c r="D55" t="s">
        <v>44</v>
      </c>
      <c r="E55" t="s">
        <v>65</v>
      </c>
      <c r="K55" t="s">
        <v>68</v>
      </c>
      <c r="L55">
        <v>4</v>
      </c>
      <c r="M55">
        <v>1</v>
      </c>
      <c r="N55">
        <v>3</v>
      </c>
      <c r="O55">
        <v>2</v>
      </c>
      <c r="P55" t="s">
        <v>69</v>
      </c>
    </row>
    <row r="56" spans="1:18">
      <c r="A56" t="s">
        <v>151</v>
      </c>
      <c r="B56" t="s">
        <v>37</v>
      </c>
      <c r="C56" t="s">
        <v>17</v>
      </c>
      <c r="D56" t="s">
        <v>44</v>
      </c>
      <c r="E56" t="s">
        <v>77</v>
      </c>
      <c r="F56">
        <v>37232651911</v>
      </c>
      <c r="G56" t="s">
        <v>66</v>
      </c>
      <c r="H56" t="s">
        <v>2</v>
      </c>
      <c r="I56" t="s">
        <v>146</v>
      </c>
      <c r="J56">
        <v>6</v>
      </c>
      <c r="K56" t="s">
        <v>68</v>
      </c>
      <c r="L56">
        <v>1</v>
      </c>
      <c r="N56">
        <v>1</v>
      </c>
      <c r="P56" t="s">
        <v>69</v>
      </c>
      <c r="Q56">
        <v>537441504</v>
      </c>
      <c r="R56" t="s">
        <v>130</v>
      </c>
    </row>
    <row r="57" spans="1:18">
      <c r="A57" t="s">
        <v>152</v>
      </c>
      <c r="B57" t="s">
        <v>83</v>
      </c>
      <c r="C57" t="s">
        <v>15</v>
      </c>
      <c r="D57" t="s">
        <v>44</v>
      </c>
      <c r="E57" t="s">
        <v>65</v>
      </c>
      <c r="F57">
        <v>0</v>
      </c>
      <c r="G57" t="s">
        <v>73</v>
      </c>
      <c r="K57" t="s">
        <v>68</v>
      </c>
      <c r="L57">
        <v>2</v>
      </c>
      <c r="M57">
        <v>1</v>
      </c>
      <c r="N57">
        <v>3</v>
      </c>
      <c r="P57" t="s">
        <v>69</v>
      </c>
      <c r="Q57">
        <v>513264981</v>
      </c>
    </row>
    <row r="58" spans="1:18">
      <c r="A58" t="s">
        <v>153</v>
      </c>
      <c r="B58" t="s">
        <v>37</v>
      </c>
      <c r="C58" t="s">
        <v>19</v>
      </c>
      <c r="D58" t="s">
        <v>44</v>
      </c>
      <c r="E58" t="s">
        <v>65</v>
      </c>
      <c r="F58">
        <v>37232659773</v>
      </c>
      <c r="G58" t="s">
        <v>66</v>
      </c>
      <c r="H58" t="s">
        <v>2</v>
      </c>
      <c r="I58" t="s">
        <v>137</v>
      </c>
      <c r="J58">
        <v>3</v>
      </c>
      <c r="K58" t="s">
        <v>68</v>
      </c>
      <c r="L58">
        <v>4</v>
      </c>
      <c r="M58">
        <v>7</v>
      </c>
      <c r="N58">
        <v>5</v>
      </c>
      <c r="O58">
        <v>6</v>
      </c>
      <c r="P58" t="s">
        <v>69</v>
      </c>
      <c r="Q58">
        <v>594708515</v>
      </c>
      <c r="R58" t="s">
        <v>79</v>
      </c>
    </row>
    <row r="59" spans="1:18">
      <c r="A59" t="s">
        <v>154</v>
      </c>
      <c r="B59" t="s">
        <v>37</v>
      </c>
      <c r="C59" t="s">
        <v>17</v>
      </c>
      <c r="D59" t="s">
        <v>44</v>
      </c>
      <c r="E59" t="s">
        <v>77</v>
      </c>
      <c r="K59" t="s">
        <v>68</v>
      </c>
      <c r="L59">
        <v>3</v>
      </c>
      <c r="M59">
        <v>4</v>
      </c>
      <c r="N59">
        <v>4</v>
      </c>
      <c r="O59">
        <v>3</v>
      </c>
      <c r="P59" t="s">
        <v>69</v>
      </c>
      <c r="Q59">
        <v>537441504</v>
      </c>
      <c r="R59" t="s">
        <v>130</v>
      </c>
    </row>
    <row r="60" spans="1:18">
      <c r="A60" t="s">
        <v>155</v>
      </c>
      <c r="B60" t="s">
        <v>37</v>
      </c>
      <c r="C60" t="s">
        <v>17</v>
      </c>
      <c r="D60" t="s">
        <v>44</v>
      </c>
      <c r="E60" t="s">
        <v>65</v>
      </c>
      <c r="F60">
        <v>37155247242</v>
      </c>
      <c r="G60" t="s">
        <v>66</v>
      </c>
      <c r="H60" t="s">
        <v>2</v>
      </c>
      <c r="I60" t="s">
        <v>144</v>
      </c>
      <c r="J60">
        <v>3</v>
      </c>
      <c r="K60" t="s">
        <v>68</v>
      </c>
      <c r="L60">
        <v>3</v>
      </c>
      <c r="M60">
        <v>3</v>
      </c>
      <c r="N60">
        <v>3</v>
      </c>
      <c r="O60">
        <v>3</v>
      </c>
      <c r="P60" t="s">
        <v>69</v>
      </c>
      <c r="Q60" t="s">
        <v>156</v>
      </c>
      <c r="R60" t="s">
        <v>130</v>
      </c>
    </row>
    <row r="61" spans="1:18">
      <c r="A61" t="s">
        <v>157</v>
      </c>
      <c r="B61" t="s">
        <v>37</v>
      </c>
      <c r="C61" t="s">
        <v>17</v>
      </c>
      <c r="D61" t="s">
        <v>44</v>
      </c>
      <c r="E61" t="s">
        <v>65</v>
      </c>
      <c r="F61">
        <v>37232651846</v>
      </c>
      <c r="G61" t="s">
        <v>66</v>
      </c>
      <c r="H61" t="s">
        <v>2</v>
      </c>
      <c r="I61" t="s">
        <v>132</v>
      </c>
      <c r="J61">
        <v>3</v>
      </c>
      <c r="K61" t="s">
        <v>68</v>
      </c>
      <c r="L61">
        <v>4</v>
      </c>
      <c r="M61">
        <v>4</v>
      </c>
      <c r="N61">
        <v>4</v>
      </c>
      <c r="O61">
        <v>4</v>
      </c>
      <c r="P61" t="s">
        <v>69</v>
      </c>
      <c r="Q61">
        <v>568650640</v>
      </c>
      <c r="R61" t="s">
        <v>130</v>
      </c>
    </row>
    <row r="62" spans="1:18">
      <c r="A62" t="s">
        <v>158</v>
      </c>
      <c r="B62" t="s">
        <v>37</v>
      </c>
      <c r="C62" t="s">
        <v>17</v>
      </c>
      <c r="D62" t="s">
        <v>44</v>
      </c>
      <c r="E62" t="s">
        <v>77</v>
      </c>
      <c r="K62" t="s">
        <v>68</v>
      </c>
      <c r="L62">
        <v>1</v>
      </c>
      <c r="M62">
        <v>1</v>
      </c>
      <c r="N62">
        <v>2</v>
      </c>
      <c r="P62" t="s">
        <v>69</v>
      </c>
      <c r="Q62">
        <v>522398482</v>
      </c>
      <c r="R62" t="s">
        <v>130</v>
      </c>
    </row>
    <row r="63" spans="1:18">
      <c r="A63" t="s">
        <v>159</v>
      </c>
      <c r="B63" t="s">
        <v>37</v>
      </c>
      <c r="C63" t="s">
        <v>19</v>
      </c>
      <c r="D63" t="s">
        <v>44</v>
      </c>
      <c r="E63" t="s">
        <v>65</v>
      </c>
      <c r="F63">
        <v>37232654477</v>
      </c>
      <c r="G63" t="s">
        <v>66</v>
      </c>
      <c r="H63" t="s">
        <v>2</v>
      </c>
      <c r="I63" t="s">
        <v>137</v>
      </c>
      <c r="J63">
        <v>3</v>
      </c>
      <c r="K63" t="s">
        <v>68</v>
      </c>
      <c r="L63">
        <v>6</v>
      </c>
      <c r="M63">
        <v>5</v>
      </c>
      <c r="N63">
        <v>6</v>
      </c>
      <c r="O63">
        <v>5</v>
      </c>
      <c r="P63" t="s">
        <v>69</v>
      </c>
      <c r="Q63">
        <v>568557636</v>
      </c>
      <c r="R63" t="s">
        <v>79</v>
      </c>
    </row>
    <row r="64" spans="1:18">
      <c r="A64" t="s">
        <v>160</v>
      </c>
      <c r="B64" t="s">
        <v>37</v>
      </c>
      <c r="C64" t="s">
        <v>17</v>
      </c>
      <c r="D64" t="s">
        <v>44</v>
      </c>
      <c r="E64" t="s">
        <v>65</v>
      </c>
      <c r="F64">
        <v>37232651929</v>
      </c>
      <c r="G64" t="s">
        <v>66</v>
      </c>
      <c r="H64" t="s">
        <v>2</v>
      </c>
      <c r="I64" t="s">
        <v>129</v>
      </c>
      <c r="J64">
        <v>3</v>
      </c>
      <c r="K64" t="s">
        <v>68</v>
      </c>
      <c r="L64">
        <v>2</v>
      </c>
      <c r="M64">
        <v>2</v>
      </c>
      <c r="N64">
        <v>2</v>
      </c>
      <c r="O64">
        <v>2</v>
      </c>
      <c r="P64" t="s">
        <v>69</v>
      </c>
      <c r="Q64">
        <v>0</v>
      </c>
      <c r="R64" t="s">
        <v>130</v>
      </c>
    </row>
    <row r="65" spans="1:18">
      <c r="A65" t="s">
        <v>161</v>
      </c>
      <c r="B65" t="s">
        <v>37</v>
      </c>
      <c r="C65" t="s">
        <v>17</v>
      </c>
      <c r="D65" t="s">
        <v>44</v>
      </c>
      <c r="E65" t="s">
        <v>65</v>
      </c>
      <c r="F65">
        <v>37232651887</v>
      </c>
      <c r="G65" t="s">
        <v>162</v>
      </c>
      <c r="H65" t="s">
        <v>2</v>
      </c>
      <c r="I65" t="s">
        <v>132</v>
      </c>
      <c r="J65">
        <v>3</v>
      </c>
      <c r="K65" t="s">
        <v>68</v>
      </c>
      <c r="L65">
        <v>5</v>
      </c>
      <c r="M65">
        <v>2</v>
      </c>
      <c r="N65">
        <v>2</v>
      </c>
      <c r="O65">
        <v>2</v>
      </c>
      <c r="P65" t="s">
        <v>61</v>
      </c>
      <c r="Q65">
        <v>592907051</v>
      </c>
      <c r="R65" t="s">
        <v>130</v>
      </c>
    </row>
    <row r="66" spans="1:18">
      <c r="A66" t="s">
        <v>163</v>
      </c>
      <c r="B66" t="s">
        <v>71</v>
      </c>
      <c r="C66" t="s">
        <v>11</v>
      </c>
      <c r="D66" t="s">
        <v>44</v>
      </c>
      <c r="E66" t="s">
        <v>65</v>
      </c>
      <c r="F66">
        <v>0</v>
      </c>
      <c r="G66" t="s">
        <v>73</v>
      </c>
      <c r="K66" t="s">
        <v>68</v>
      </c>
      <c r="L66">
        <v>4</v>
      </c>
      <c r="M66">
        <v>2</v>
      </c>
      <c r="N66">
        <v>2</v>
      </c>
      <c r="O66">
        <v>4</v>
      </c>
      <c r="P66" t="s">
        <v>69</v>
      </c>
      <c r="Q66" t="s">
        <v>164</v>
      </c>
    </row>
    <row r="67" spans="1:18">
      <c r="A67" t="s">
        <v>165</v>
      </c>
      <c r="B67" t="s">
        <v>37</v>
      </c>
      <c r="C67" t="s">
        <v>19</v>
      </c>
      <c r="D67" t="s">
        <v>44</v>
      </c>
      <c r="E67" t="s">
        <v>65</v>
      </c>
      <c r="F67">
        <v>37187802311</v>
      </c>
      <c r="G67" t="s">
        <v>66</v>
      </c>
      <c r="H67" t="s">
        <v>2</v>
      </c>
      <c r="I67" t="s">
        <v>137</v>
      </c>
      <c r="J67">
        <v>3</v>
      </c>
      <c r="K67" t="s">
        <v>68</v>
      </c>
      <c r="L67">
        <v>5</v>
      </c>
      <c r="M67">
        <v>4</v>
      </c>
      <c r="N67">
        <v>2</v>
      </c>
      <c r="O67">
        <v>7</v>
      </c>
      <c r="P67" t="s">
        <v>69</v>
      </c>
      <c r="Q67">
        <v>515279964</v>
      </c>
      <c r="R67" t="s">
        <v>79</v>
      </c>
    </row>
    <row r="68" spans="1:18">
      <c r="A68" t="s">
        <v>166</v>
      </c>
      <c r="B68" t="s">
        <v>71</v>
      </c>
      <c r="C68" t="s">
        <v>15</v>
      </c>
      <c r="D68" t="s">
        <v>44</v>
      </c>
      <c r="E68" t="s">
        <v>65</v>
      </c>
      <c r="F68">
        <v>0</v>
      </c>
      <c r="G68" t="s">
        <v>73</v>
      </c>
      <c r="K68" t="s">
        <v>68</v>
      </c>
      <c r="L68">
        <v>2</v>
      </c>
      <c r="M68">
        <v>2</v>
      </c>
      <c r="N68">
        <v>2</v>
      </c>
      <c r="O68">
        <v>4</v>
      </c>
      <c r="P68" t="s">
        <v>61</v>
      </c>
      <c r="Q68">
        <v>512166701</v>
      </c>
    </row>
    <row r="69" spans="1:18">
      <c r="A69" t="s">
        <v>167</v>
      </c>
      <c r="B69" t="s">
        <v>37</v>
      </c>
      <c r="C69" t="s">
        <v>17</v>
      </c>
      <c r="D69" t="s">
        <v>44</v>
      </c>
      <c r="E69" t="s">
        <v>65</v>
      </c>
      <c r="F69">
        <v>37155247903</v>
      </c>
      <c r="G69" t="s">
        <v>162</v>
      </c>
      <c r="H69" t="s">
        <v>2</v>
      </c>
      <c r="I69" t="s">
        <v>144</v>
      </c>
      <c r="J69">
        <v>3</v>
      </c>
      <c r="K69" t="s">
        <v>68</v>
      </c>
      <c r="L69">
        <v>3</v>
      </c>
      <c r="M69">
        <v>3</v>
      </c>
      <c r="N69">
        <v>3</v>
      </c>
      <c r="O69">
        <v>3</v>
      </c>
      <c r="P69" t="s">
        <v>69</v>
      </c>
      <c r="Q69">
        <v>592907051</v>
      </c>
      <c r="R69" t="s">
        <v>130</v>
      </c>
    </row>
    <row r="70" spans="1:18">
      <c r="A70" t="s">
        <v>168</v>
      </c>
      <c r="B70" t="s">
        <v>37</v>
      </c>
      <c r="C70" t="s">
        <v>17</v>
      </c>
      <c r="D70" t="s">
        <v>44</v>
      </c>
      <c r="E70" t="s">
        <v>65</v>
      </c>
      <c r="F70">
        <v>37232652398</v>
      </c>
      <c r="G70" t="s">
        <v>66</v>
      </c>
      <c r="H70" t="s">
        <v>2</v>
      </c>
      <c r="I70" t="s">
        <v>129</v>
      </c>
      <c r="J70">
        <v>3</v>
      </c>
      <c r="K70" t="s">
        <v>68</v>
      </c>
      <c r="L70">
        <v>5</v>
      </c>
      <c r="M70">
        <v>5</v>
      </c>
      <c r="N70">
        <v>6</v>
      </c>
      <c r="O70">
        <v>4</v>
      </c>
      <c r="P70" t="s">
        <v>69</v>
      </c>
      <c r="Q70">
        <v>597949903</v>
      </c>
      <c r="R70" t="s">
        <v>130</v>
      </c>
    </row>
    <row r="71" spans="1:18">
      <c r="A71" t="s">
        <v>169</v>
      </c>
      <c r="B71" t="s">
        <v>37</v>
      </c>
      <c r="C71" t="s">
        <v>19</v>
      </c>
      <c r="D71" t="s">
        <v>44</v>
      </c>
      <c r="E71" t="s">
        <v>65</v>
      </c>
      <c r="F71">
        <v>37232651861</v>
      </c>
      <c r="G71" t="s">
        <v>66</v>
      </c>
      <c r="H71" t="s">
        <v>2</v>
      </c>
      <c r="I71" t="s">
        <v>139</v>
      </c>
      <c r="J71">
        <v>3</v>
      </c>
      <c r="K71" t="s">
        <v>68</v>
      </c>
      <c r="L71">
        <v>1</v>
      </c>
      <c r="M71">
        <v>2</v>
      </c>
      <c r="N71">
        <v>2</v>
      </c>
      <c r="O71">
        <v>1</v>
      </c>
      <c r="P71" t="s">
        <v>69</v>
      </c>
      <c r="Q71">
        <v>599136295</v>
      </c>
      <c r="R71" t="s">
        <v>79</v>
      </c>
    </row>
    <row r="72" spans="1:18">
      <c r="A72" t="s">
        <v>170</v>
      </c>
      <c r="B72" t="s">
        <v>71</v>
      </c>
      <c r="C72" t="s">
        <v>14</v>
      </c>
      <c r="D72" t="s">
        <v>44</v>
      </c>
      <c r="E72" t="s">
        <v>65</v>
      </c>
      <c r="F72">
        <v>0</v>
      </c>
      <c r="G72" t="s">
        <v>73</v>
      </c>
      <c r="K72" t="s">
        <v>68</v>
      </c>
      <c r="L72">
        <v>1</v>
      </c>
      <c r="M72">
        <v>1</v>
      </c>
      <c r="N72">
        <v>2</v>
      </c>
      <c r="P72" t="s">
        <v>69</v>
      </c>
      <c r="Q72" t="s">
        <v>171</v>
      </c>
    </row>
    <row r="73" spans="1:18">
      <c r="A73" t="s">
        <v>172</v>
      </c>
      <c r="B73" t="s">
        <v>37</v>
      </c>
      <c r="C73" t="s">
        <v>17</v>
      </c>
      <c r="D73" t="s">
        <v>44</v>
      </c>
      <c r="E73" t="s">
        <v>77</v>
      </c>
      <c r="F73">
        <v>37232657587</v>
      </c>
      <c r="G73" t="s">
        <v>66</v>
      </c>
      <c r="H73" t="s">
        <v>2</v>
      </c>
      <c r="I73" t="s">
        <v>146</v>
      </c>
      <c r="J73">
        <v>3</v>
      </c>
      <c r="K73" t="s">
        <v>68</v>
      </c>
      <c r="L73">
        <v>4</v>
      </c>
      <c r="M73">
        <v>3</v>
      </c>
      <c r="N73">
        <v>5</v>
      </c>
      <c r="O73">
        <v>2</v>
      </c>
      <c r="P73" t="s">
        <v>69</v>
      </c>
      <c r="Q73">
        <v>537441504</v>
      </c>
      <c r="R73" t="s">
        <v>130</v>
      </c>
    </row>
  </sheetData>
  <autoFilter ref="A1:S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R31"/>
  <sheetViews>
    <sheetView tabSelected="0" workbookViewId="0" showGridLines="true" showRowColHeaders="1">
      <pane ySplit="1" topLeftCell="A2" activePane="bottomLeft" state="frozen"/>
      <selection pane="bottomLeft" activeCell="A1" sqref="A1:R1"/>
    </sheetView>
  </sheetViews>
  <sheetFormatPr defaultRowHeight="14.4" outlineLevelRow="0" outlineLevelCol="0"/>
  <cols>
    <col min="1" max="1" width="52.987" bestFit="true" customWidth="true" style="0"/>
    <col min="2" max="2" width="18.71" bestFit="true" customWidth="true" style="0"/>
    <col min="3" max="3" width="24.28" bestFit="true" customWidth="true" style="0"/>
    <col min="4" max="4" width="19.138" bestFit="true" customWidth="true" style="0"/>
    <col min="5" max="5" width="16.425" bestFit="true" customWidth="true" style="0"/>
    <col min="6" max="6" width="19.138" bestFit="true" customWidth="true" style="0"/>
    <col min="7" max="7" width="25.422" bestFit="true" customWidth="true" style="0"/>
    <col min="8" max="8" width="17.71" bestFit="true" customWidth="true" style="0"/>
    <col min="9" max="9" width="18.71" bestFit="true" customWidth="true" style="0"/>
    <col min="10" max="10" width="21.566" bestFit="true" customWidth="true" style="0"/>
    <col min="11" max="11" width="24.28" bestFit="true" customWidth="true" style="0"/>
    <col min="12" max="12" width="24.28" bestFit="true" customWidth="true" style="0"/>
    <col min="13" max="13" width="26.708" bestFit="true" customWidth="true" style="0"/>
    <col min="14" max="14" width="17.71" bestFit="true" customWidth="true" style="0"/>
    <col min="15" max="15" width="19.138" bestFit="true" customWidth="true" style="0"/>
    <col min="16" max="16" width="22.28" bestFit="true" customWidth="true" style="0"/>
    <col min="17" max="17" width="9.998" bestFit="true" customWidth="true" style="0"/>
    <col min="18" max="18" width="23.423" bestFit="true" customWidth="true" style="0"/>
  </cols>
  <sheetData>
    <row r="1" spans="1:18">
      <c r="A1" s="6" t="s">
        <v>173</v>
      </c>
      <c r="B1" s="6" t="s">
        <v>48</v>
      </c>
      <c r="C1" s="6" t="s">
        <v>174</v>
      </c>
      <c r="D1" s="6" t="s">
        <v>51</v>
      </c>
      <c r="E1" s="6" t="s">
        <v>52</v>
      </c>
      <c r="F1" s="6" t="s">
        <v>53</v>
      </c>
      <c r="G1" s="6" t="s">
        <v>54</v>
      </c>
      <c r="H1" s="6" t="s">
        <v>55</v>
      </c>
      <c r="I1" s="6" t="s">
        <v>56</v>
      </c>
      <c r="J1" s="6" t="s">
        <v>57</v>
      </c>
      <c r="K1" s="6" t="s">
        <v>58</v>
      </c>
      <c r="L1" s="6" t="s">
        <v>59</v>
      </c>
      <c r="M1" s="6" t="s">
        <v>60</v>
      </c>
      <c r="N1" s="6" t="s">
        <v>61</v>
      </c>
      <c r="O1" s="6" t="s">
        <v>62</v>
      </c>
      <c r="P1" s="6" t="s">
        <v>40</v>
      </c>
      <c r="Q1" s="6" t="s">
        <v>175</v>
      </c>
      <c r="R1" s="6" t="s">
        <v>176</v>
      </c>
    </row>
    <row r="2" spans="1:18">
      <c r="A2" t="s">
        <v>177</v>
      </c>
      <c r="B2" t="s">
        <v>178</v>
      </c>
      <c r="C2" t="s">
        <v>37</v>
      </c>
      <c r="D2">
        <v>37232656258</v>
      </c>
      <c r="E2" t="s">
        <v>66</v>
      </c>
      <c r="F2" t="s">
        <v>2</v>
      </c>
      <c r="G2" t="s">
        <v>179</v>
      </c>
      <c r="H2">
        <v>3</v>
      </c>
      <c r="I2" t="s">
        <v>68</v>
      </c>
      <c r="J2">
        <v>4</v>
      </c>
      <c r="K2">
        <v>1</v>
      </c>
      <c r="L2">
        <v>5</v>
      </c>
      <c r="N2" t="s">
        <v>69</v>
      </c>
      <c r="O2" t="s">
        <v>180</v>
      </c>
      <c r="P2" t="s">
        <v>181</v>
      </c>
      <c r="R2" t="s">
        <v>182</v>
      </c>
    </row>
    <row r="3" spans="1:18">
      <c r="A3" t="s">
        <v>183</v>
      </c>
      <c r="B3" t="s">
        <v>184</v>
      </c>
      <c r="C3" t="s">
        <v>71</v>
      </c>
      <c r="D3">
        <v>0</v>
      </c>
      <c r="E3" t="s">
        <v>66</v>
      </c>
      <c r="I3" t="s">
        <v>68</v>
      </c>
      <c r="J3">
        <v>2</v>
      </c>
      <c r="K3">
        <v>1</v>
      </c>
      <c r="L3">
        <v>2</v>
      </c>
      <c r="M3">
        <v>1</v>
      </c>
      <c r="N3" t="s">
        <v>69</v>
      </c>
      <c r="O3">
        <v>525152082</v>
      </c>
      <c r="P3" t="s">
        <v>185</v>
      </c>
      <c r="R3" t="s">
        <v>182</v>
      </c>
    </row>
    <row r="4" spans="1:18">
      <c r="A4" t="s">
        <v>186</v>
      </c>
      <c r="B4" t="s">
        <v>178</v>
      </c>
      <c r="C4" t="s">
        <v>83</v>
      </c>
      <c r="D4">
        <v>0</v>
      </c>
      <c r="E4" t="s">
        <v>73</v>
      </c>
      <c r="I4" t="s">
        <v>68</v>
      </c>
      <c r="J4">
        <v>4</v>
      </c>
      <c r="K4">
        <v>2</v>
      </c>
      <c r="L4">
        <v>3</v>
      </c>
      <c r="M4">
        <v>3</v>
      </c>
      <c r="N4" t="s">
        <v>69</v>
      </c>
      <c r="O4" t="s">
        <v>187</v>
      </c>
      <c r="P4" t="s">
        <v>181</v>
      </c>
      <c r="R4" t="s">
        <v>182</v>
      </c>
    </row>
    <row r="5" spans="1:18">
      <c r="A5" t="s">
        <v>188</v>
      </c>
      <c r="B5" t="s">
        <v>178</v>
      </c>
      <c r="C5" t="s">
        <v>83</v>
      </c>
      <c r="D5">
        <v>0</v>
      </c>
      <c r="E5" t="s">
        <v>73</v>
      </c>
      <c r="I5" t="s">
        <v>68</v>
      </c>
      <c r="J5">
        <v>1</v>
      </c>
      <c r="K5">
        <v>1</v>
      </c>
      <c r="L5">
        <v>2</v>
      </c>
      <c r="N5" t="s">
        <v>69</v>
      </c>
      <c r="O5" t="s">
        <v>189</v>
      </c>
      <c r="P5" t="s">
        <v>181</v>
      </c>
      <c r="R5" t="s">
        <v>182</v>
      </c>
    </row>
    <row r="6" spans="1:18">
      <c r="A6" t="s">
        <v>190</v>
      </c>
      <c r="B6" t="s">
        <v>191</v>
      </c>
      <c r="C6" t="s">
        <v>37</v>
      </c>
      <c r="D6">
        <v>37232651895</v>
      </c>
      <c r="E6" t="s">
        <v>66</v>
      </c>
      <c r="F6" t="s">
        <v>2</v>
      </c>
      <c r="G6" t="s">
        <v>192</v>
      </c>
      <c r="H6">
        <v>3</v>
      </c>
      <c r="I6" t="s">
        <v>68</v>
      </c>
      <c r="J6">
        <v>1</v>
      </c>
      <c r="K6">
        <v>1</v>
      </c>
      <c r="L6">
        <v>2</v>
      </c>
      <c r="N6" t="s">
        <v>69</v>
      </c>
      <c r="O6">
        <v>537208701</v>
      </c>
      <c r="P6" t="s">
        <v>79</v>
      </c>
      <c r="R6" t="s">
        <v>182</v>
      </c>
    </row>
    <row r="7" spans="1:18">
      <c r="A7" t="s">
        <v>160</v>
      </c>
      <c r="B7" t="s">
        <v>17</v>
      </c>
      <c r="C7" t="s">
        <v>37</v>
      </c>
      <c r="D7">
        <v>37232651929</v>
      </c>
      <c r="E7" t="s">
        <v>66</v>
      </c>
      <c r="F7" t="s">
        <v>2</v>
      </c>
      <c r="G7" t="s">
        <v>129</v>
      </c>
      <c r="H7">
        <v>3</v>
      </c>
      <c r="I7" t="s">
        <v>68</v>
      </c>
      <c r="J7">
        <v>2</v>
      </c>
      <c r="K7">
        <v>2</v>
      </c>
      <c r="L7">
        <v>2</v>
      </c>
      <c r="M7">
        <v>2</v>
      </c>
      <c r="N7" t="s">
        <v>69</v>
      </c>
      <c r="O7">
        <v>0</v>
      </c>
      <c r="P7" t="s">
        <v>130</v>
      </c>
      <c r="R7" t="s">
        <v>182</v>
      </c>
    </row>
    <row r="8" spans="1:18">
      <c r="A8" t="s">
        <v>193</v>
      </c>
      <c r="B8" t="s">
        <v>194</v>
      </c>
      <c r="C8" t="s">
        <v>37</v>
      </c>
      <c r="D8">
        <v>37209557281</v>
      </c>
      <c r="E8" t="s">
        <v>66</v>
      </c>
      <c r="F8" t="s">
        <v>2</v>
      </c>
      <c r="G8" t="s">
        <v>195</v>
      </c>
      <c r="H8">
        <v>2.5</v>
      </c>
      <c r="I8" t="s">
        <v>68</v>
      </c>
      <c r="J8">
        <v>3</v>
      </c>
      <c r="K8">
        <v>1</v>
      </c>
      <c r="L8">
        <v>2</v>
      </c>
      <c r="M8">
        <v>2</v>
      </c>
      <c r="N8" t="s">
        <v>69</v>
      </c>
      <c r="O8" t="s">
        <v>196</v>
      </c>
      <c r="P8" t="s">
        <v>79</v>
      </c>
      <c r="R8" t="s">
        <v>182</v>
      </c>
    </row>
    <row r="9" spans="1:18">
      <c r="A9" t="s">
        <v>183</v>
      </c>
      <c r="B9" t="s">
        <v>184</v>
      </c>
      <c r="C9" t="s">
        <v>71</v>
      </c>
      <c r="D9">
        <v>0</v>
      </c>
      <c r="E9" t="s">
        <v>73</v>
      </c>
      <c r="I9" t="s">
        <v>68</v>
      </c>
      <c r="J9">
        <v>2</v>
      </c>
      <c r="K9">
        <v>1</v>
      </c>
      <c r="L9">
        <v>2</v>
      </c>
      <c r="M9">
        <v>1</v>
      </c>
      <c r="N9" t="s">
        <v>69</v>
      </c>
      <c r="O9">
        <v>525152082</v>
      </c>
      <c r="P9" t="s">
        <v>185</v>
      </c>
      <c r="R9" t="s">
        <v>182</v>
      </c>
    </row>
    <row r="10" spans="1:18">
      <c r="A10" t="s">
        <v>197</v>
      </c>
      <c r="B10" t="s">
        <v>184</v>
      </c>
      <c r="C10" t="s">
        <v>71</v>
      </c>
      <c r="D10">
        <v>0</v>
      </c>
      <c r="E10" t="s">
        <v>73</v>
      </c>
      <c r="I10" t="s">
        <v>68</v>
      </c>
      <c r="J10">
        <v>1</v>
      </c>
      <c r="K10">
        <v>3</v>
      </c>
      <c r="L10">
        <v>2</v>
      </c>
      <c r="M10">
        <v>2</v>
      </c>
      <c r="N10" t="s">
        <v>69</v>
      </c>
      <c r="O10">
        <v>522073437</v>
      </c>
      <c r="P10" t="s">
        <v>185</v>
      </c>
      <c r="R10" t="s">
        <v>182</v>
      </c>
    </row>
    <row r="11" spans="1:18">
      <c r="A11" t="s">
        <v>198</v>
      </c>
      <c r="B11" t="s">
        <v>194</v>
      </c>
      <c r="C11" t="s">
        <v>37</v>
      </c>
      <c r="D11">
        <v>37209554213</v>
      </c>
      <c r="E11" t="s">
        <v>66</v>
      </c>
      <c r="F11" t="s">
        <v>2</v>
      </c>
      <c r="G11" t="s">
        <v>195</v>
      </c>
      <c r="H11">
        <v>2.5</v>
      </c>
      <c r="I11" t="s">
        <v>74</v>
      </c>
      <c r="N11" t="s">
        <v>69</v>
      </c>
      <c r="O11" t="s">
        <v>199</v>
      </c>
      <c r="P11" t="s">
        <v>79</v>
      </c>
      <c r="R11" t="s">
        <v>182</v>
      </c>
    </row>
    <row r="12" spans="1:18">
      <c r="A12" t="s">
        <v>200</v>
      </c>
      <c r="B12" t="s">
        <v>184</v>
      </c>
      <c r="C12" t="s">
        <v>71</v>
      </c>
      <c r="D12">
        <v>0</v>
      </c>
      <c r="E12" t="s">
        <v>73</v>
      </c>
      <c r="I12" t="s">
        <v>68</v>
      </c>
      <c r="J12">
        <v>1</v>
      </c>
      <c r="K12">
        <v>2</v>
      </c>
      <c r="L12">
        <v>2</v>
      </c>
      <c r="M12">
        <v>1</v>
      </c>
      <c r="N12" t="s">
        <v>69</v>
      </c>
      <c r="O12">
        <v>527489074</v>
      </c>
      <c r="P12" t="s">
        <v>185</v>
      </c>
      <c r="R12" t="s">
        <v>182</v>
      </c>
    </row>
    <row r="13" spans="1:18">
      <c r="A13" t="s">
        <v>201</v>
      </c>
      <c r="B13" t="s">
        <v>202</v>
      </c>
      <c r="C13" t="s">
        <v>71</v>
      </c>
      <c r="D13">
        <v>0</v>
      </c>
      <c r="E13" t="s">
        <v>73</v>
      </c>
      <c r="I13" t="s">
        <v>68</v>
      </c>
      <c r="J13">
        <v>1</v>
      </c>
      <c r="K13">
        <v>1</v>
      </c>
      <c r="L13">
        <v>2</v>
      </c>
      <c r="N13" t="s">
        <v>69</v>
      </c>
      <c r="O13" t="s">
        <v>203</v>
      </c>
      <c r="P13" t="s">
        <v>79</v>
      </c>
      <c r="R13" t="s">
        <v>182</v>
      </c>
    </row>
    <row r="14" spans="1:18">
      <c r="A14" t="s">
        <v>204</v>
      </c>
      <c r="B14" t="s">
        <v>202</v>
      </c>
      <c r="C14" t="s">
        <v>71</v>
      </c>
      <c r="D14">
        <v>0</v>
      </c>
      <c r="E14" t="s">
        <v>73</v>
      </c>
      <c r="I14" t="s">
        <v>74</v>
      </c>
      <c r="N14" t="s">
        <v>69</v>
      </c>
      <c r="O14" t="s">
        <v>205</v>
      </c>
      <c r="P14" t="s">
        <v>79</v>
      </c>
      <c r="R14" t="s">
        <v>182</v>
      </c>
    </row>
    <row r="15" spans="1:18">
      <c r="A15" t="s">
        <v>206</v>
      </c>
      <c r="B15" t="s">
        <v>207</v>
      </c>
      <c r="C15" t="s">
        <v>37</v>
      </c>
      <c r="D15">
        <v>37232658528</v>
      </c>
      <c r="E15" t="s">
        <v>66</v>
      </c>
      <c r="F15" t="s">
        <v>2</v>
      </c>
      <c r="G15" t="s">
        <v>208</v>
      </c>
      <c r="H15">
        <v>2.5</v>
      </c>
      <c r="I15" t="s">
        <v>74</v>
      </c>
      <c r="N15" t="s">
        <v>69</v>
      </c>
      <c r="O15" t="s">
        <v>209</v>
      </c>
      <c r="R15" t="s">
        <v>182</v>
      </c>
    </row>
    <row r="16" spans="1:18">
      <c r="A16" t="s">
        <v>210</v>
      </c>
      <c r="B16" t="s">
        <v>211</v>
      </c>
      <c r="C16" t="s">
        <v>71</v>
      </c>
      <c r="D16">
        <v>0</v>
      </c>
      <c r="E16" t="s">
        <v>73</v>
      </c>
      <c r="I16" t="s">
        <v>68</v>
      </c>
      <c r="J16">
        <v>6</v>
      </c>
      <c r="K16">
        <v>2</v>
      </c>
      <c r="L16">
        <v>4</v>
      </c>
      <c r="M16">
        <v>4</v>
      </c>
      <c r="N16" t="s">
        <v>69</v>
      </c>
      <c r="O16">
        <v>524055169</v>
      </c>
      <c r="P16" t="s">
        <v>212</v>
      </c>
      <c r="R16" t="s">
        <v>182</v>
      </c>
    </row>
    <row r="17" spans="1:18">
      <c r="A17" t="s">
        <v>213</v>
      </c>
      <c r="B17" t="s">
        <v>214</v>
      </c>
      <c r="C17" t="s">
        <v>71</v>
      </c>
      <c r="D17">
        <v>0</v>
      </c>
      <c r="E17" t="s">
        <v>73</v>
      </c>
      <c r="I17" t="s">
        <v>68</v>
      </c>
      <c r="J17">
        <v>2</v>
      </c>
      <c r="K17">
        <v>1</v>
      </c>
      <c r="L17">
        <v>2</v>
      </c>
      <c r="M17">
        <v>1</v>
      </c>
      <c r="N17" t="s">
        <v>69</v>
      </c>
      <c r="O17">
        <v>522293875</v>
      </c>
      <c r="P17" t="s">
        <v>79</v>
      </c>
      <c r="R17" t="s">
        <v>182</v>
      </c>
    </row>
    <row r="18" spans="1:18">
      <c r="A18" t="s">
        <v>215</v>
      </c>
      <c r="B18" t="s">
        <v>214</v>
      </c>
      <c r="C18" t="s">
        <v>71</v>
      </c>
      <c r="D18">
        <v>0</v>
      </c>
      <c r="E18" t="s">
        <v>73</v>
      </c>
      <c r="I18" t="s">
        <v>74</v>
      </c>
      <c r="N18" t="s">
        <v>69</v>
      </c>
      <c r="P18" t="s">
        <v>79</v>
      </c>
      <c r="R18" t="s">
        <v>182</v>
      </c>
    </row>
    <row r="19" spans="1:18">
      <c r="A19" t="s">
        <v>216</v>
      </c>
      <c r="B19" t="s">
        <v>214</v>
      </c>
      <c r="C19" t="s">
        <v>71</v>
      </c>
      <c r="D19">
        <v>0</v>
      </c>
      <c r="E19" t="s">
        <v>73</v>
      </c>
      <c r="I19" t="s">
        <v>68</v>
      </c>
      <c r="J19">
        <v>2</v>
      </c>
      <c r="K19">
        <v>1</v>
      </c>
      <c r="L19">
        <v>2</v>
      </c>
      <c r="M19">
        <v>1</v>
      </c>
      <c r="N19" t="s">
        <v>69</v>
      </c>
      <c r="O19" t="s">
        <v>217</v>
      </c>
      <c r="P19" t="s">
        <v>79</v>
      </c>
      <c r="R19" t="s">
        <v>182</v>
      </c>
    </row>
    <row r="20" spans="1:18">
      <c r="A20" t="s">
        <v>218</v>
      </c>
      <c r="B20" t="s">
        <v>214</v>
      </c>
      <c r="C20" t="s">
        <v>71</v>
      </c>
      <c r="D20">
        <v>0</v>
      </c>
      <c r="E20" t="s">
        <v>73</v>
      </c>
      <c r="I20" t="s">
        <v>68</v>
      </c>
      <c r="J20">
        <v>1</v>
      </c>
      <c r="K20">
        <v>1</v>
      </c>
      <c r="L20">
        <v>2</v>
      </c>
      <c r="N20" t="s">
        <v>69</v>
      </c>
      <c r="O20">
        <v>526795320</v>
      </c>
      <c r="P20" t="s">
        <v>79</v>
      </c>
      <c r="R20" t="s">
        <v>182</v>
      </c>
    </row>
    <row r="21" spans="1:18">
      <c r="A21" t="s">
        <v>219</v>
      </c>
      <c r="B21" t="s">
        <v>220</v>
      </c>
      <c r="C21" t="s">
        <v>71</v>
      </c>
      <c r="D21">
        <v>0</v>
      </c>
      <c r="E21" t="s">
        <v>73</v>
      </c>
      <c r="I21" t="s">
        <v>74</v>
      </c>
      <c r="N21" t="s">
        <v>69</v>
      </c>
      <c r="P21" t="s">
        <v>212</v>
      </c>
      <c r="R21" t="s">
        <v>182</v>
      </c>
    </row>
    <row r="22" spans="1:18">
      <c r="A22" t="s">
        <v>221</v>
      </c>
      <c r="B22" t="s">
        <v>214</v>
      </c>
      <c r="C22" t="s">
        <v>83</v>
      </c>
      <c r="D22">
        <v>0</v>
      </c>
      <c r="E22" t="s">
        <v>73</v>
      </c>
      <c r="I22" t="s">
        <v>74</v>
      </c>
      <c r="N22" t="s">
        <v>69</v>
      </c>
      <c r="R22" t="s">
        <v>182</v>
      </c>
    </row>
    <row r="23" spans="1:18">
      <c r="A23" t="s">
        <v>222</v>
      </c>
      <c r="B23" t="s">
        <v>223</v>
      </c>
      <c r="C23" t="s">
        <v>71</v>
      </c>
      <c r="D23">
        <v>0</v>
      </c>
      <c r="E23" t="s">
        <v>73</v>
      </c>
      <c r="I23" t="s">
        <v>68</v>
      </c>
      <c r="J23">
        <v>1</v>
      </c>
      <c r="K23">
        <v>1</v>
      </c>
      <c r="L23">
        <v>2</v>
      </c>
      <c r="N23" t="s">
        <v>69</v>
      </c>
      <c r="O23" t="s">
        <v>224</v>
      </c>
      <c r="R23" t="s">
        <v>182</v>
      </c>
    </row>
    <row r="24" spans="1:18">
      <c r="A24" t="s">
        <v>225</v>
      </c>
      <c r="B24" t="s">
        <v>226</v>
      </c>
      <c r="C24" t="s">
        <v>71</v>
      </c>
      <c r="D24">
        <v>0</v>
      </c>
      <c r="E24" t="s">
        <v>73</v>
      </c>
      <c r="I24" t="s">
        <v>68</v>
      </c>
      <c r="J24">
        <v>3</v>
      </c>
      <c r="K24">
        <v>6</v>
      </c>
      <c r="L24">
        <v>2</v>
      </c>
      <c r="M24">
        <v>7</v>
      </c>
      <c r="N24" t="s">
        <v>69</v>
      </c>
      <c r="O24" t="s">
        <v>227</v>
      </c>
      <c r="P24" t="s">
        <v>79</v>
      </c>
      <c r="R24" t="s">
        <v>182</v>
      </c>
    </row>
    <row r="25" spans="1:18">
      <c r="A25" t="s">
        <v>228</v>
      </c>
      <c r="B25" t="s">
        <v>226</v>
      </c>
      <c r="C25" t="s">
        <v>71</v>
      </c>
      <c r="D25">
        <v>0</v>
      </c>
      <c r="E25" t="s">
        <v>73</v>
      </c>
      <c r="I25" t="s">
        <v>68</v>
      </c>
      <c r="J25">
        <v>1</v>
      </c>
      <c r="K25">
        <v>1</v>
      </c>
      <c r="L25">
        <v>2</v>
      </c>
      <c r="N25" t="s">
        <v>69</v>
      </c>
      <c r="O25" t="s">
        <v>229</v>
      </c>
      <c r="P25" t="s">
        <v>79</v>
      </c>
      <c r="R25" t="s">
        <v>182</v>
      </c>
    </row>
    <row r="26" spans="1:18">
      <c r="A26" t="s">
        <v>230</v>
      </c>
      <c r="B26" t="s">
        <v>226</v>
      </c>
      <c r="C26" t="s">
        <v>71</v>
      </c>
      <c r="D26">
        <v>0</v>
      </c>
      <c r="E26" t="s">
        <v>73</v>
      </c>
      <c r="I26" t="s">
        <v>68</v>
      </c>
      <c r="J26">
        <v>3</v>
      </c>
      <c r="K26">
        <v>1</v>
      </c>
      <c r="L26">
        <v>2</v>
      </c>
      <c r="M26">
        <v>2</v>
      </c>
      <c r="N26" t="s">
        <v>69</v>
      </c>
      <c r="O26" t="s">
        <v>231</v>
      </c>
      <c r="P26" t="s">
        <v>79</v>
      </c>
      <c r="R26" t="s">
        <v>182</v>
      </c>
    </row>
    <row r="27" spans="1:18">
      <c r="A27" t="s">
        <v>232</v>
      </c>
      <c r="B27" t="s">
        <v>226</v>
      </c>
      <c r="C27" t="s">
        <v>71</v>
      </c>
      <c r="D27">
        <v>0</v>
      </c>
      <c r="E27" t="s">
        <v>73</v>
      </c>
      <c r="I27" t="s">
        <v>68</v>
      </c>
      <c r="J27">
        <v>5</v>
      </c>
      <c r="K27">
        <v>2</v>
      </c>
      <c r="L27">
        <v>2</v>
      </c>
      <c r="M27">
        <v>5</v>
      </c>
      <c r="N27" t="s">
        <v>69</v>
      </c>
      <c r="O27" t="s">
        <v>231</v>
      </c>
      <c r="P27" t="s">
        <v>79</v>
      </c>
      <c r="R27" t="s">
        <v>182</v>
      </c>
    </row>
    <row r="28" spans="1:18">
      <c r="A28" t="s">
        <v>233</v>
      </c>
      <c r="B28" t="s">
        <v>214</v>
      </c>
      <c r="C28" t="s">
        <v>71</v>
      </c>
      <c r="D28">
        <v>0</v>
      </c>
      <c r="E28" t="s">
        <v>73</v>
      </c>
      <c r="I28" t="s">
        <v>68</v>
      </c>
      <c r="J28">
        <v>4</v>
      </c>
      <c r="K28">
        <v>3</v>
      </c>
      <c r="L28">
        <v>2</v>
      </c>
      <c r="M28">
        <v>5</v>
      </c>
      <c r="N28" t="s">
        <v>69</v>
      </c>
      <c r="O28" t="s">
        <v>234</v>
      </c>
      <c r="R28" t="s">
        <v>182</v>
      </c>
    </row>
    <row r="29" spans="1:18">
      <c r="A29" t="s">
        <v>235</v>
      </c>
      <c r="B29" t="s">
        <v>214</v>
      </c>
      <c r="C29" t="s">
        <v>71</v>
      </c>
      <c r="D29">
        <v>0</v>
      </c>
      <c r="E29" t="s">
        <v>73</v>
      </c>
      <c r="I29" t="s">
        <v>68</v>
      </c>
      <c r="J29">
        <v>1</v>
      </c>
      <c r="K29">
        <v>2</v>
      </c>
      <c r="L29">
        <v>2</v>
      </c>
      <c r="N29" t="s">
        <v>61</v>
      </c>
      <c r="O29" t="s">
        <v>234</v>
      </c>
      <c r="R29" t="s">
        <v>182</v>
      </c>
    </row>
    <row r="30" spans="1:18">
      <c r="A30" t="s">
        <v>236</v>
      </c>
      <c r="B30" t="s">
        <v>214</v>
      </c>
      <c r="C30" t="s">
        <v>71</v>
      </c>
      <c r="D30">
        <v>0</v>
      </c>
      <c r="E30" t="s">
        <v>73</v>
      </c>
      <c r="I30" t="s">
        <v>68</v>
      </c>
      <c r="J30">
        <v>1</v>
      </c>
      <c r="K30">
        <v>2</v>
      </c>
      <c r="L30">
        <v>2</v>
      </c>
      <c r="M30">
        <v>1</v>
      </c>
      <c r="N30" t="s">
        <v>69</v>
      </c>
      <c r="O30">
        <v>548923395</v>
      </c>
      <c r="R30" t="s">
        <v>182</v>
      </c>
    </row>
    <row r="31" spans="1:18">
      <c r="A31" t="s">
        <v>237</v>
      </c>
      <c r="B31" t="s">
        <v>238</v>
      </c>
      <c r="C31" t="s">
        <v>239</v>
      </c>
      <c r="I31" t="s">
        <v>68</v>
      </c>
      <c r="J31">
        <v>1</v>
      </c>
      <c r="K31">
        <v>1</v>
      </c>
      <c r="L31">
        <v>1</v>
      </c>
      <c r="M31">
        <v>1</v>
      </c>
      <c r="N31" t="s">
        <v>69</v>
      </c>
      <c r="O31" t="s">
        <v>240</v>
      </c>
      <c r="Q31" t="s">
        <v>241</v>
      </c>
      <c r="R31" t="s">
        <v>242</v>
      </c>
    </row>
  </sheetData>
  <autoFilter ref="A1: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"/>
  <sheetViews>
    <sheetView tabSelected="0" workbookViewId="0" showGridLines="true" showRowColHeaders="1">
      <pane ySplit="1" topLeftCell="A2" activePane="bottomLeft" state="frozen"/>
      <selection pane="bottomLeft" activeCell="D2" sqref="D2:D1"/>
    </sheetView>
  </sheetViews>
  <sheetFormatPr defaultRowHeight="14.4" outlineLevelRow="0" outlineLevelCol="0"/>
  <cols>
    <col min="1" max="1" width="15.139" bestFit="true" customWidth="true" style="0"/>
    <col min="2" max="2" width="19.138" bestFit="true" customWidth="true" style="0"/>
    <col min="3" max="3" width="15.139" bestFit="true" customWidth="true" style="0"/>
    <col min="4" max="4" width="25.422" bestFit="true" customWidth="true" style="0"/>
    <col min="5" max="5" width="36.991" bestFit="true" customWidth="true" style="0"/>
    <col min="6" max="6" width="17.71" bestFit="true" customWidth="true" style="0"/>
    <col min="7" max="7" width="55.129" bestFit="true" customWidth="true" style="0"/>
    <col min="8" max="8" width="34.563" bestFit="true" customWidth="true" style="0"/>
    <col min="9" max="9" width="40.847" bestFit="true" customWidth="true" style="0"/>
    <col min="10" max="10" width="16.425" bestFit="true" customWidth="true" style="0"/>
    <col min="11" max="11" width="16.425" bestFit="true" customWidth="true" style="0"/>
  </cols>
  <sheetData>
    <row r="1" spans="1:11">
      <c r="A1" s="13" t="s">
        <v>48</v>
      </c>
      <c r="B1" s="13" t="s">
        <v>51</v>
      </c>
      <c r="C1" s="13" t="s">
        <v>173</v>
      </c>
      <c r="D1" s="13" t="s">
        <v>34</v>
      </c>
      <c r="E1" s="13" t="s">
        <v>243</v>
      </c>
      <c r="F1" s="13" t="s">
        <v>244</v>
      </c>
      <c r="G1" s="13" t="s">
        <v>245</v>
      </c>
      <c r="H1" s="13" t="s">
        <v>246</v>
      </c>
      <c r="I1" s="13" t="s">
        <v>247</v>
      </c>
      <c r="J1" s="13" t="s">
        <v>248</v>
      </c>
      <c r="K1" s="13" t="s">
        <v>249</v>
      </c>
    </row>
  </sheetData>
  <autoFilter ref="A1:K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29"/>
  <sheetViews>
    <sheetView tabSelected="0" workbookViewId="0" showGridLines="true" showRowColHeaders="1">
      <pane ySplit="1" topLeftCell="A2" activePane="bottomLeft" state="frozen"/>
      <selection pane="bottomLeft" activeCell="A1" sqref="A1:Q1"/>
    </sheetView>
  </sheetViews>
  <sheetFormatPr defaultRowHeight="14.4" outlineLevelRow="0" outlineLevelCol="0"/>
  <cols>
    <col min="1" max="1" width="38.848" bestFit="true" customWidth="true" style="0"/>
    <col min="2" max="2" width="25.851" bestFit="true" customWidth="true" style="0"/>
    <col min="3" max="3" width="25.708" bestFit="true" customWidth="true" style="0"/>
    <col min="4" max="4" width="37.705" bestFit="true" customWidth="true" style="0"/>
    <col min="5" max="5" width="17.567" bestFit="true" customWidth="true" style="0"/>
    <col min="6" max="6" width="15.139" bestFit="true" customWidth="true" style="0"/>
    <col min="7" max="7" width="17.567" bestFit="true" customWidth="true" style="0"/>
    <col min="8" max="8" width="23.423" bestFit="true" customWidth="true" style="0"/>
    <col min="9" max="9" width="16.282" bestFit="true" customWidth="true" style="0"/>
    <col min="10" max="10" width="16.282" bestFit="true" customWidth="true" style="0"/>
    <col min="11" max="11" width="19.852" bestFit="true" customWidth="true" style="0"/>
    <col min="12" max="12" width="22.28" bestFit="true" customWidth="true" style="0"/>
    <col min="13" max="13" width="22.28" bestFit="true" customWidth="true" style="0"/>
    <col min="14" max="14" width="24.565" bestFit="true" customWidth="true" style="0"/>
    <col min="15" max="15" width="17.567" bestFit="true" customWidth="true" style="0"/>
    <col min="16" max="16" width="17.567" bestFit="true" customWidth="true" style="0"/>
    <col min="17" max="17" width="13.997" bestFit="true" customWidth="true" style="0"/>
  </cols>
  <sheetData>
    <row r="1" spans="1:17">
      <c r="A1" s="12" t="s">
        <v>173</v>
      </c>
      <c r="B1" s="12" t="s">
        <v>250</v>
      </c>
      <c r="C1" s="12" t="s">
        <v>251</v>
      </c>
      <c r="D1" s="12" t="s">
        <v>252</v>
      </c>
      <c r="E1" s="12" t="s">
        <v>51</v>
      </c>
      <c r="F1" s="12" t="s">
        <v>52</v>
      </c>
      <c r="G1" s="12" t="s">
        <v>53</v>
      </c>
      <c r="H1" s="12" t="s">
        <v>54</v>
      </c>
      <c r="I1" s="12" t="s">
        <v>55</v>
      </c>
      <c r="J1" s="12" t="s">
        <v>56</v>
      </c>
      <c r="K1" s="12" t="s">
        <v>253</v>
      </c>
      <c r="L1" s="12" t="s">
        <v>58</v>
      </c>
      <c r="M1" s="12" t="s">
        <v>254</v>
      </c>
      <c r="N1" s="12" t="s">
        <v>255</v>
      </c>
      <c r="O1" s="12" t="s">
        <v>61</v>
      </c>
      <c r="P1" s="12" t="s">
        <v>256</v>
      </c>
      <c r="Q1" s="12" t="s">
        <v>40</v>
      </c>
    </row>
    <row r="2" spans="1:17">
      <c r="A2" t="s">
        <v>257</v>
      </c>
      <c r="B2" t="s">
        <v>258</v>
      </c>
      <c r="C2" t="s">
        <v>15</v>
      </c>
      <c r="D2" t="s">
        <v>259</v>
      </c>
      <c r="J2" t="s">
        <v>68</v>
      </c>
      <c r="K2">
        <v>3</v>
      </c>
      <c r="L2">
        <v>4</v>
      </c>
      <c r="M2">
        <v>2</v>
      </c>
      <c r="N2">
        <v>5</v>
      </c>
      <c r="O2" t="s">
        <v>69</v>
      </c>
      <c r="P2">
        <v>507233589</v>
      </c>
    </row>
    <row r="3" spans="1:17">
      <c r="A3" t="s">
        <v>260</v>
      </c>
      <c r="B3" t="s">
        <v>261</v>
      </c>
      <c r="C3" t="s">
        <v>15</v>
      </c>
      <c r="D3" t="s">
        <v>259</v>
      </c>
      <c r="J3" t="s">
        <v>68</v>
      </c>
      <c r="K3">
        <v>1</v>
      </c>
      <c r="L3">
        <v>5</v>
      </c>
      <c r="M3">
        <v>2</v>
      </c>
      <c r="N3">
        <v>4</v>
      </c>
      <c r="O3" t="s">
        <v>69</v>
      </c>
      <c r="P3">
        <v>524670119</v>
      </c>
    </row>
    <row r="4" spans="1:17">
      <c r="A4" t="s">
        <v>262</v>
      </c>
      <c r="B4" t="s">
        <v>261</v>
      </c>
      <c r="C4" t="s">
        <v>15</v>
      </c>
      <c r="D4" t="s">
        <v>259</v>
      </c>
      <c r="J4" t="s">
        <v>68</v>
      </c>
      <c r="K4">
        <v>1</v>
      </c>
      <c r="L4">
        <v>2</v>
      </c>
      <c r="M4">
        <v>2</v>
      </c>
      <c r="N4">
        <v>1</v>
      </c>
      <c r="O4" t="s">
        <v>69</v>
      </c>
      <c r="P4">
        <v>537697708</v>
      </c>
    </row>
    <row r="5" spans="1:17">
      <c r="A5" t="s">
        <v>263</v>
      </c>
      <c r="B5" t="s">
        <v>261</v>
      </c>
      <c r="C5" t="s">
        <v>15</v>
      </c>
      <c r="D5" t="s">
        <v>259</v>
      </c>
      <c r="J5" t="s">
        <v>68</v>
      </c>
      <c r="K5">
        <v>3</v>
      </c>
      <c r="L5">
        <v>3</v>
      </c>
      <c r="M5">
        <v>3</v>
      </c>
      <c r="N5">
        <v>3</v>
      </c>
      <c r="O5" t="s">
        <v>69</v>
      </c>
      <c r="P5">
        <v>552263004</v>
      </c>
    </row>
    <row r="6" spans="1:17">
      <c r="A6" t="s">
        <v>264</v>
      </c>
      <c r="B6" t="s">
        <v>265</v>
      </c>
      <c r="C6" t="s">
        <v>15</v>
      </c>
      <c r="D6" t="s">
        <v>259</v>
      </c>
      <c r="J6" t="s">
        <v>68</v>
      </c>
      <c r="K6">
        <v>2</v>
      </c>
      <c r="L6">
        <v>2</v>
      </c>
      <c r="M6">
        <v>4</v>
      </c>
      <c r="O6" t="s">
        <v>69</v>
      </c>
      <c r="P6">
        <v>512451932</v>
      </c>
    </row>
    <row r="7" spans="1:17">
      <c r="A7" t="s">
        <v>266</v>
      </c>
      <c r="B7" t="s">
        <v>265</v>
      </c>
      <c r="C7" t="s">
        <v>15</v>
      </c>
      <c r="D7" t="s">
        <v>259</v>
      </c>
      <c r="J7" t="s">
        <v>68</v>
      </c>
      <c r="K7">
        <v>4</v>
      </c>
      <c r="L7">
        <v>2</v>
      </c>
      <c r="M7">
        <v>2</v>
      </c>
      <c r="N7">
        <v>4</v>
      </c>
      <c r="O7" t="s">
        <v>69</v>
      </c>
      <c r="P7">
        <v>505261114</v>
      </c>
    </row>
    <row r="8" spans="1:17">
      <c r="A8" t="s">
        <v>267</v>
      </c>
      <c r="B8" t="s">
        <v>19</v>
      </c>
      <c r="C8" t="s">
        <v>15</v>
      </c>
      <c r="D8" t="s">
        <v>259</v>
      </c>
      <c r="J8" t="s">
        <v>68</v>
      </c>
      <c r="K8">
        <v>3</v>
      </c>
      <c r="L8">
        <v>1</v>
      </c>
      <c r="M8">
        <v>2</v>
      </c>
      <c r="N8">
        <v>2</v>
      </c>
      <c r="O8" t="s">
        <v>69</v>
      </c>
      <c r="P8">
        <v>597640386</v>
      </c>
    </row>
    <row r="9" spans="1:17">
      <c r="A9" t="s">
        <v>268</v>
      </c>
      <c r="B9" t="s">
        <v>269</v>
      </c>
      <c r="C9" t="s">
        <v>15</v>
      </c>
      <c r="D9" t="s">
        <v>259</v>
      </c>
      <c r="J9" t="s">
        <v>68</v>
      </c>
      <c r="K9">
        <v>6</v>
      </c>
      <c r="L9">
        <v>5</v>
      </c>
      <c r="M9">
        <v>5</v>
      </c>
      <c r="N9">
        <v>6</v>
      </c>
      <c r="O9" t="s">
        <v>69</v>
      </c>
      <c r="P9" t="s">
        <v>270</v>
      </c>
    </row>
    <row r="10" spans="1:17">
      <c r="A10" t="s">
        <v>271</v>
      </c>
      <c r="B10" t="s">
        <v>265</v>
      </c>
      <c r="C10" t="s">
        <v>15</v>
      </c>
      <c r="D10" t="s">
        <v>259</v>
      </c>
      <c r="J10" t="s">
        <v>68</v>
      </c>
      <c r="K10">
        <v>1</v>
      </c>
      <c r="L10">
        <v>3</v>
      </c>
      <c r="M10">
        <v>2</v>
      </c>
      <c r="N10">
        <v>2</v>
      </c>
      <c r="O10" t="s">
        <v>69</v>
      </c>
      <c r="P10">
        <v>512208960</v>
      </c>
    </row>
    <row r="11" spans="1:17">
      <c r="A11" t="s">
        <v>272</v>
      </c>
      <c r="B11" t="s">
        <v>265</v>
      </c>
      <c r="C11" t="s">
        <v>15</v>
      </c>
      <c r="D11" t="s">
        <v>259</v>
      </c>
      <c r="J11" t="s">
        <v>68</v>
      </c>
      <c r="K11">
        <v>2</v>
      </c>
      <c r="L11">
        <v>2</v>
      </c>
      <c r="M11">
        <v>2</v>
      </c>
      <c r="N11">
        <v>2</v>
      </c>
      <c r="O11" t="s">
        <v>69</v>
      </c>
      <c r="P11" t="s">
        <v>273</v>
      </c>
    </row>
    <row r="12" spans="1:17">
      <c r="A12" t="s">
        <v>274</v>
      </c>
      <c r="B12" t="s">
        <v>19</v>
      </c>
      <c r="C12" t="s">
        <v>15</v>
      </c>
      <c r="D12" t="s">
        <v>259</v>
      </c>
      <c r="J12" t="s">
        <v>68</v>
      </c>
      <c r="K12">
        <v>1</v>
      </c>
      <c r="L12">
        <v>1</v>
      </c>
      <c r="M12">
        <v>2</v>
      </c>
      <c r="O12" t="s">
        <v>69</v>
      </c>
      <c r="P12">
        <v>515371740</v>
      </c>
    </row>
    <row r="13" spans="1:17">
      <c r="A13" t="s">
        <v>275</v>
      </c>
      <c r="B13" t="s">
        <v>19</v>
      </c>
      <c r="C13" t="s">
        <v>15</v>
      </c>
      <c r="D13" t="s">
        <v>259</v>
      </c>
      <c r="J13" t="s">
        <v>68</v>
      </c>
      <c r="K13">
        <v>3</v>
      </c>
      <c r="L13">
        <v>3</v>
      </c>
      <c r="M13">
        <v>2</v>
      </c>
      <c r="N13">
        <v>4</v>
      </c>
      <c r="O13" t="s">
        <v>69</v>
      </c>
      <c r="P13">
        <v>512806037</v>
      </c>
    </row>
    <row r="14" spans="1:17">
      <c r="A14" t="s">
        <v>276</v>
      </c>
      <c r="B14" t="s">
        <v>19</v>
      </c>
      <c r="C14" t="s">
        <v>15</v>
      </c>
      <c r="D14" t="s">
        <v>259</v>
      </c>
      <c r="J14" t="s">
        <v>68</v>
      </c>
      <c r="K14">
        <v>3</v>
      </c>
      <c r="L14">
        <v>4</v>
      </c>
      <c r="M14">
        <v>2</v>
      </c>
      <c r="N14">
        <v>5</v>
      </c>
      <c r="O14" t="s">
        <v>69</v>
      </c>
      <c r="P14">
        <v>525747696</v>
      </c>
    </row>
    <row r="15" spans="1:17">
      <c r="A15" t="s">
        <v>277</v>
      </c>
      <c r="B15" t="s">
        <v>269</v>
      </c>
      <c r="C15" t="s">
        <v>15</v>
      </c>
      <c r="D15" t="s">
        <v>278</v>
      </c>
      <c r="G15" t="s">
        <v>9</v>
      </c>
      <c r="J15" t="s">
        <v>68</v>
      </c>
      <c r="K15">
        <v>2</v>
      </c>
      <c r="L15">
        <v>1</v>
      </c>
      <c r="M15">
        <v>2</v>
      </c>
      <c r="N15">
        <v>1</v>
      </c>
      <c r="O15" t="s">
        <v>69</v>
      </c>
      <c r="P15">
        <v>503123201</v>
      </c>
    </row>
    <row r="16" spans="1:17">
      <c r="A16" t="s">
        <v>279</v>
      </c>
      <c r="B16" t="s">
        <v>265</v>
      </c>
      <c r="C16" t="s">
        <v>15</v>
      </c>
      <c r="D16" t="s">
        <v>278</v>
      </c>
      <c r="G16" t="s">
        <v>9</v>
      </c>
      <c r="J16" t="s">
        <v>68</v>
      </c>
      <c r="K16">
        <v>1</v>
      </c>
      <c r="L16">
        <v>2</v>
      </c>
      <c r="M16">
        <v>2</v>
      </c>
      <c r="N16">
        <v>1</v>
      </c>
      <c r="O16" t="s">
        <v>69</v>
      </c>
      <c r="P16">
        <v>512206705</v>
      </c>
    </row>
    <row r="17" spans="1:17">
      <c r="A17" t="s">
        <v>280</v>
      </c>
      <c r="B17" t="s">
        <v>269</v>
      </c>
      <c r="C17" t="s">
        <v>15</v>
      </c>
      <c r="D17" t="s">
        <v>278</v>
      </c>
      <c r="G17" t="s">
        <v>9</v>
      </c>
      <c r="J17" t="s">
        <v>68</v>
      </c>
      <c r="L17">
        <v>2</v>
      </c>
      <c r="M17">
        <v>2</v>
      </c>
      <c r="O17" t="s">
        <v>69</v>
      </c>
      <c r="P17">
        <v>503123201</v>
      </c>
    </row>
    <row r="18" spans="1:17">
      <c r="A18" t="s">
        <v>281</v>
      </c>
      <c r="B18" t="s">
        <v>282</v>
      </c>
      <c r="C18" t="s">
        <v>15</v>
      </c>
      <c r="D18" t="s">
        <v>278</v>
      </c>
      <c r="G18" t="s">
        <v>9</v>
      </c>
      <c r="J18" t="s">
        <v>68</v>
      </c>
      <c r="K18">
        <v>2</v>
      </c>
      <c r="L18">
        <v>2</v>
      </c>
      <c r="M18">
        <v>2</v>
      </c>
      <c r="N18">
        <v>2</v>
      </c>
      <c r="O18" t="s">
        <v>69</v>
      </c>
      <c r="P18">
        <v>506080911</v>
      </c>
    </row>
    <row r="19" spans="1:17">
      <c r="A19" t="s">
        <v>283</v>
      </c>
      <c r="B19" t="s">
        <v>282</v>
      </c>
      <c r="C19" t="s">
        <v>15</v>
      </c>
      <c r="D19" t="s">
        <v>278</v>
      </c>
      <c r="G19" t="s">
        <v>9</v>
      </c>
      <c r="J19" t="s">
        <v>68</v>
      </c>
      <c r="K19">
        <v>4</v>
      </c>
      <c r="L19">
        <v>4</v>
      </c>
      <c r="M19">
        <v>2</v>
      </c>
      <c r="N19">
        <v>6</v>
      </c>
      <c r="O19" t="s">
        <v>69</v>
      </c>
      <c r="P19">
        <v>502142454</v>
      </c>
    </row>
    <row r="20" spans="1:17">
      <c r="A20" t="s">
        <v>284</v>
      </c>
      <c r="B20" t="s">
        <v>15</v>
      </c>
      <c r="C20" t="s">
        <v>15</v>
      </c>
      <c r="D20" t="s">
        <v>278</v>
      </c>
      <c r="G20" t="s">
        <v>9</v>
      </c>
      <c r="J20" t="s">
        <v>68</v>
      </c>
      <c r="K20">
        <v>4</v>
      </c>
      <c r="L20">
        <v>5</v>
      </c>
      <c r="M20">
        <v>5</v>
      </c>
      <c r="N20">
        <v>4</v>
      </c>
      <c r="O20" t="s">
        <v>69</v>
      </c>
      <c r="P20">
        <v>524716417</v>
      </c>
    </row>
    <row r="21" spans="1:17">
      <c r="A21" t="s">
        <v>285</v>
      </c>
      <c r="B21" t="s">
        <v>15</v>
      </c>
      <c r="C21" t="s">
        <v>15</v>
      </c>
      <c r="D21" t="s">
        <v>278</v>
      </c>
      <c r="G21" t="s">
        <v>9</v>
      </c>
      <c r="J21" t="s">
        <v>68</v>
      </c>
      <c r="K21">
        <v>4</v>
      </c>
      <c r="L21">
        <v>6</v>
      </c>
      <c r="M21">
        <v>5</v>
      </c>
      <c r="N21">
        <v>5</v>
      </c>
      <c r="O21" t="s">
        <v>69</v>
      </c>
      <c r="P21">
        <v>522829174</v>
      </c>
    </row>
    <row r="22" spans="1:17">
      <c r="A22" t="s">
        <v>286</v>
      </c>
      <c r="B22" t="s">
        <v>15</v>
      </c>
      <c r="C22" t="s">
        <v>15</v>
      </c>
      <c r="D22" t="s">
        <v>278</v>
      </c>
      <c r="G22" t="s">
        <v>9</v>
      </c>
      <c r="J22" t="s">
        <v>68</v>
      </c>
      <c r="O22" t="s">
        <v>69</v>
      </c>
    </row>
    <row r="23" spans="1:17">
      <c r="A23" t="s">
        <v>287</v>
      </c>
      <c r="B23" t="s">
        <v>288</v>
      </c>
      <c r="C23" t="s">
        <v>289</v>
      </c>
      <c r="D23" t="s">
        <v>290</v>
      </c>
      <c r="E23">
        <v>37232652950</v>
      </c>
      <c r="F23" t="s">
        <v>66</v>
      </c>
      <c r="G23" t="s">
        <v>9</v>
      </c>
      <c r="H23" t="s">
        <v>291</v>
      </c>
      <c r="I23">
        <v>3</v>
      </c>
      <c r="J23" t="s">
        <v>68</v>
      </c>
      <c r="K23">
        <v>1</v>
      </c>
      <c r="L23">
        <v>1</v>
      </c>
      <c r="O23" t="s">
        <v>69</v>
      </c>
      <c r="Q23" t="s">
        <v>79</v>
      </c>
    </row>
    <row r="24" spans="1:17">
      <c r="A24" t="s">
        <v>292</v>
      </c>
      <c r="B24" t="s">
        <v>293</v>
      </c>
      <c r="C24" t="s">
        <v>294</v>
      </c>
      <c r="D24" t="s">
        <v>290</v>
      </c>
      <c r="E24">
        <v>37232652943</v>
      </c>
      <c r="F24" t="s">
        <v>66</v>
      </c>
      <c r="G24" t="s">
        <v>2</v>
      </c>
      <c r="H24" t="s">
        <v>295</v>
      </c>
      <c r="I24">
        <v>3</v>
      </c>
      <c r="J24" t="s">
        <v>68</v>
      </c>
      <c r="K24">
        <v>1</v>
      </c>
      <c r="L24">
        <v>1</v>
      </c>
      <c r="O24" t="s">
        <v>69</v>
      </c>
      <c r="Q24" t="s">
        <v>212</v>
      </c>
    </row>
    <row r="25" spans="1:17">
      <c r="A25" t="s">
        <v>296</v>
      </c>
      <c r="B25" t="s">
        <v>293</v>
      </c>
      <c r="C25" t="s">
        <v>294</v>
      </c>
      <c r="D25" t="s">
        <v>290</v>
      </c>
      <c r="E25">
        <v>37232655813</v>
      </c>
      <c r="F25" t="s">
        <v>66</v>
      </c>
      <c r="G25" t="s">
        <v>2</v>
      </c>
      <c r="H25" t="s">
        <v>297</v>
      </c>
      <c r="I25">
        <v>3</v>
      </c>
      <c r="J25" t="s">
        <v>68</v>
      </c>
      <c r="K25">
        <v>1</v>
      </c>
      <c r="L25">
        <v>1</v>
      </c>
      <c r="M25">
        <v>2</v>
      </c>
      <c r="N25">
        <v>1</v>
      </c>
      <c r="O25" t="s">
        <v>69</v>
      </c>
      <c r="P25" t="s">
        <v>298</v>
      </c>
      <c r="Q25" t="s">
        <v>212</v>
      </c>
    </row>
    <row r="26" spans="1:17">
      <c r="A26" t="s">
        <v>299</v>
      </c>
      <c r="B26" t="s">
        <v>293</v>
      </c>
      <c r="C26" t="s">
        <v>294</v>
      </c>
      <c r="D26" t="s">
        <v>290</v>
      </c>
      <c r="E26">
        <v>37232655292</v>
      </c>
      <c r="F26" t="s">
        <v>66</v>
      </c>
      <c r="G26" t="s">
        <v>2</v>
      </c>
      <c r="H26" t="s">
        <v>297</v>
      </c>
      <c r="I26">
        <v>3</v>
      </c>
      <c r="J26" t="s">
        <v>68</v>
      </c>
      <c r="K26">
        <v>1</v>
      </c>
      <c r="L26">
        <v>1</v>
      </c>
      <c r="M26">
        <v>2</v>
      </c>
      <c r="O26" t="s">
        <v>69</v>
      </c>
      <c r="Q26" t="s">
        <v>212</v>
      </c>
    </row>
    <row r="27" spans="1:17">
      <c r="A27" t="s">
        <v>300</v>
      </c>
      <c r="B27" t="s">
        <v>293</v>
      </c>
      <c r="C27" t="s">
        <v>294</v>
      </c>
      <c r="D27" t="s">
        <v>290</v>
      </c>
      <c r="E27">
        <v>37232656142</v>
      </c>
      <c r="F27" t="s">
        <v>66</v>
      </c>
      <c r="G27" t="s">
        <v>2</v>
      </c>
      <c r="H27" t="s">
        <v>301</v>
      </c>
      <c r="I27">
        <v>3</v>
      </c>
      <c r="J27" t="s">
        <v>68</v>
      </c>
      <c r="K27">
        <v>1</v>
      </c>
      <c r="L27">
        <v>1</v>
      </c>
      <c r="M27">
        <v>2</v>
      </c>
      <c r="O27" t="s">
        <v>69</v>
      </c>
      <c r="P27" t="s">
        <v>302</v>
      </c>
      <c r="Q27" t="s">
        <v>212</v>
      </c>
    </row>
    <row r="28" spans="1:17">
      <c r="A28" t="s">
        <v>303</v>
      </c>
      <c r="B28" t="s">
        <v>293</v>
      </c>
      <c r="C28" t="s">
        <v>294</v>
      </c>
      <c r="D28" t="s">
        <v>290</v>
      </c>
      <c r="E28">
        <v>37232656209</v>
      </c>
      <c r="F28" t="s">
        <v>66</v>
      </c>
      <c r="G28" t="s">
        <v>2</v>
      </c>
      <c r="H28" t="s">
        <v>304</v>
      </c>
      <c r="I28">
        <v>3</v>
      </c>
      <c r="J28" t="s">
        <v>68</v>
      </c>
      <c r="K28">
        <v>3</v>
      </c>
      <c r="L28">
        <v>3</v>
      </c>
      <c r="M28">
        <v>4</v>
      </c>
      <c r="N28">
        <v>2</v>
      </c>
      <c r="O28" t="s">
        <v>69</v>
      </c>
      <c r="P28" t="s">
        <v>305</v>
      </c>
      <c r="Q28" t="s">
        <v>212</v>
      </c>
    </row>
    <row r="29" spans="1:17">
      <c r="A29" t="s">
        <v>287</v>
      </c>
      <c r="B29" t="s">
        <v>288</v>
      </c>
      <c r="C29" t="s">
        <v>289</v>
      </c>
      <c r="D29" t="s">
        <v>290</v>
      </c>
      <c r="E29">
        <v>37232652950</v>
      </c>
      <c r="F29" t="s">
        <v>66</v>
      </c>
      <c r="G29" t="s">
        <v>9</v>
      </c>
      <c r="H29" t="s">
        <v>291</v>
      </c>
      <c r="I29">
        <v>3</v>
      </c>
      <c r="J29" t="s">
        <v>68</v>
      </c>
      <c r="K29">
        <v>1</v>
      </c>
      <c r="L29">
        <v>1</v>
      </c>
      <c r="O29" t="s">
        <v>69</v>
      </c>
      <c r="Q29" t="s">
        <v>79</v>
      </c>
    </row>
  </sheetData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Energy Progress Summary</vt:lpstr>
      <vt:lpstr>(Households Publics) - New Comm</vt:lpstr>
      <vt:lpstr>MISC FBS</vt:lpstr>
      <vt:lpstr>FBS Upgrade to MGSMG</vt:lpstr>
      <vt:lpstr>Relocated Households (All)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2026-01-25T10:34:38+00:00</dcterms:created>
  <dcterms:modified xsi:type="dcterms:W3CDTF">2026-01-25T10:34:38+00:00</dcterms:modified>
  <dc:title>Untitled Spreadsheet</dc:title>
  <dc:description/>
  <dc:subject/>
  <cp:keywords/>
  <cp:category/>
</cp:coreProperties>
</file>